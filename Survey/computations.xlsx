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r\OneDrive - Politecnico di Milano\Desktop\Progetto\Survey\"/>
    </mc:Choice>
  </mc:AlternateContent>
  <xr:revisionPtr revIDLastSave="0" documentId="13_ncr:1_{6316FDD0-D41B-471C-8685-36232DF236E2}" xr6:coauthVersionLast="47" xr6:coauthVersionMax="47" xr10:uidLastSave="{00000000-0000-0000-0000-000000000000}"/>
  <bookViews>
    <workbookView xWindow="-98" yWindow="-98" windowWidth="21795" windowHeight="12975" firstSheet="1" activeTab="9" xr2:uid="{5740F1E3-65D7-43E8-B693-AC3C4C57AA23}"/>
  </bookViews>
  <sheets>
    <sheet name="TOTAL (4)" sheetId="25" r:id="rId1"/>
    <sheet name="TOTAL (3)" sheetId="24" r:id="rId2"/>
    <sheet name="Q1" sheetId="1" r:id="rId3"/>
    <sheet name="Q2" sheetId="4" r:id="rId4"/>
    <sheet name="Q3" sheetId="7" r:id="rId5"/>
    <sheet name="Q4" sheetId="10" r:id="rId6"/>
    <sheet name="Q5" sheetId="13" r:id="rId7"/>
    <sheet name="Q6" sheetId="16" r:id="rId8"/>
    <sheet name="Q7" sheetId="19" r:id="rId9"/>
    <sheet name="TOTAL" sheetId="22" r:id="rId10"/>
    <sheet name="TOTAL (2)" sheetId="2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5" l="1"/>
  <c r="H25" i="25"/>
  <c r="H24" i="25"/>
  <c r="H23" i="25"/>
  <c r="H22" i="25"/>
  <c r="I16" i="25"/>
  <c r="H16" i="25"/>
  <c r="I8" i="25"/>
  <c r="I9" i="25"/>
  <c r="I10" i="25"/>
  <c r="I11" i="25"/>
  <c r="I12" i="25"/>
  <c r="I7" i="25"/>
  <c r="H12" i="25"/>
  <c r="H11" i="25"/>
  <c r="H10" i="25"/>
  <c r="H9" i="25"/>
  <c r="H8" i="25"/>
  <c r="H7" i="25"/>
  <c r="H3" i="25"/>
  <c r="I3" i="25" s="1"/>
  <c r="I4" i="25"/>
  <c r="I5" i="25"/>
  <c r="H5" i="25"/>
  <c r="H4" i="25"/>
  <c r="L226" i="24"/>
  <c r="R232" i="24"/>
  <c r="Q232" i="24"/>
  <c r="P232" i="24"/>
  <c r="O232" i="24"/>
  <c r="N232" i="24"/>
  <c r="M232" i="24"/>
  <c r="L232" i="24"/>
  <c r="R231" i="24"/>
  <c r="Q231" i="24"/>
  <c r="P231" i="24"/>
  <c r="O231" i="24"/>
  <c r="N231" i="24"/>
  <c r="M231" i="24"/>
  <c r="L231" i="24"/>
  <c r="R230" i="24"/>
  <c r="Q230" i="24"/>
  <c r="P230" i="24"/>
  <c r="O230" i="24"/>
  <c r="N230" i="24"/>
  <c r="M230" i="24"/>
  <c r="L230" i="24"/>
  <c r="R229" i="24"/>
  <c r="Q229" i="24"/>
  <c r="P229" i="24"/>
  <c r="O229" i="24"/>
  <c r="N229" i="24"/>
  <c r="M229" i="24"/>
  <c r="L229" i="24"/>
  <c r="R228" i="24"/>
  <c r="Q228" i="24"/>
  <c r="P228" i="24"/>
  <c r="O228" i="24"/>
  <c r="N228" i="24"/>
  <c r="M228" i="24"/>
  <c r="L228" i="24"/>
  <c r="R227" i="24"/>
  <c r="Q227" i="24"/>
  <c r="P227" i="24"/>
  <c r="O227" i="24"/>
  <c r="N227" i="24"/>
  <c r="M227" i="24"/>
  <c r="L227" i="24"/>
  <c r="R226" i="24"/>
  <c r="Q226" i="24"/>
  <c r="P226" i="24"/>
  <c r="O226" i="24"/>
  <c r="N226" i="24"/>
  <c r="M226" i="24"/>
  <c r="L237" i="23"/>
  <c r="K237" i="23"/>
  <c r="J237" i="23"/>
  <c r="L236" i="23"/>
  <c r="K236" i="23"/>
  <c r="J236" i="23"/>
  <c r="L235" i="23"/>
  <c r="K235" i="23"/>
  <c r="J235" i="23"/>
  <c r="J3" i="23"/>
  <c r="K3" i="23"/>
  <c r="L3" i="23"/>
  <c r="J4" i="23"/>
  <c r="K4" i="23"/>
  <c r="L4" i="23"/>
  <c r="J5" i="23"/>
  <c r="K5" i="23"/>
  <c r="L5" i="23"/>
  <c r="J6" i="23"/>
  <c r="K6" i="23"/>
  <c r="L6" i="23"/>
  <c r="J7" i="23"/>
  <c r="K7" i="23"/>
  <c r="L7" i="23"/>
  <c r="J8" i="23"/>
  <c r="K8" i="23"/>
  <c r="L8" i="23"/>
  <c r="J9" i="23"/>
  <c r="K9" i="23"/>
  <c r="L9" i="23"/>
  <c r="J10" i="23"/>
  <c r="K10" i="23"/>
  <c r="L10" i="23"/>
  <c r="J11" i="23"/>
  <c r="K11" i="23"/>
  <c r="L11" i="23"/>
  <c r="J12" i="23"/>
  <c r="K12" i="23"/>
  <c r="L12" i="23"/>
  <c r="J13" i="23"/>
  <c r="K13" i="23"/>
  <c r="L13" i="23"/>
  <c r="J14" i="23"/>
  <c r="K14" i="23"/>
  <c r="L14" i="23"/>
  <c r="J15" i="23"/>
  <c r="K15" i="23"/>
  <c r="L15" i="23"/>
  <c r="J16" i="23"/>
  <c r="K16" i="23"/>
  <c r="L16" i="23"/>
  <c r="J17" i="23"/>
  <c r="K17" i="23"/>
  <c r="L17" i="23"/>
  <c r="J18" i="23"/>
  <c r="K18" i="23"/>
  <c r="L18" i="23"/>
  <c r="J19" i="23"/>
  <c r="K19" i="23"/>
  <c r="L19" i="23"/>
  <c r="J20" i="23"/>
  <c r="K20" i="23"/>
  <c r="L20" i="23"/>
  <c r="J21" i="23"/>
  <c r="K21" i="23"/>
  <c r="L21" i="23"/>
  <c r="J22" i="23"/>
  <c r="K22" i="23"/>
  <c r="L22" i="23"/>
  <c r="J23" i="23"/>
  <c r="K23" i="23"/>
  <c r="L23" i="23"/>
  <c r="J24" i="23"/>
  <c r="K24" i="23"/>
  <c r="L24" i="23"/>
  <c r="J25" i="23"/>
  <c r="K25" i="23"/>
  <c r="L25" i="23"/>
  <c r="J26" i="23"/>
  <c r="K26" i="23"/>
  <c r="L26" i="23"/>
  <c r="J27" i="23"/>
  <c r="K27" i="23"/>
  <c r="L27" i="23"/>
  <c r="J28" i="23"/>
  <c r="K28" i="23"/>
  <c r="L28" i="23"/>
  <c r="J29" i="23"/>
  <c r="K29" i="23"/>
  <c r="L29" i="23"/>
  <c r="J30" i="23"/>
  <c r="K30" i="23"/>
  <c r="L30" i="23"/>
  <c r="J31" i="23"/>
  <c r="K31" i="23"/>
  <c r="L31" i="23"/>
  <c r="J32" i="23"/>
  <c r="K32" i="23"/>
  <c r="L32" i="23"/>
  <c r="J33" i="23"/>
  <c r="K33" i="23"/>
  <c r="L33" i="23"/>
  <c r="J34" i="23"/>
  <c r="K34" i="23"/>
  <c r="L34" i="23"/>
  <c r="J35" i="23"/>
  <c r="K35" i="23"/>
  <c r="L35" i="23"/>
  <c r="J36" i="23"/>
  <c r="K36" i="23"/>
  <c r="L36" i="23"/>
  <c r="J37" i="23"/>
  <c r="K37" i="23"/>
  <c r="L37" i="23"/>
  <c r="J38" i="23"/>
  <c r="K38" i="23"/>
  <c r="L38" i="23"/>
  <c r="J39" i="23"/>
  <c r="K39" i="23"/>
  <c r="L39" i="23"/>
  <c r="J40" i="23"/>
  <c r="K40" i="23"/>
  <c r="L40" i="23"/>
  <c r="J41" i="23"/>
  <c r="K41" i="23"/>
  <c r="L41" i="23"/>
  <c r="J42" i="23"/>
  <c r="K42" i="23"/>
  <c r="L42" i="23"/>
  <c r="J43" i="23"/>
  <c r="K43" i="23"/>
  <c r="L43" i="23"/>
  <c r="J44" i="23"/>
  <c r="K44" i="23"/>
  <c r="L44" i="23"/>
  <c r="J45" i="23"/>
  <c r="K45" i="23"/>
  <c r="L45" i="23"/>
  <c r="J46" i="23"/>
  <c r="K46" i="23"/>
  <c r="L46" i="23"/>
  <c r="J47" i="23"/>
  <c r="K47" i="23"/>
  <c r="L47" i="23"/>
  <c r="J48" i="23"/>
  <c r="K48" i="23"/>
  <c r="L48" i="23"/>
  <c r="J49" i="23"/>
  <c r="K49" i="23"/>
  <c r="L49" i="23"/>
  <c r="J50" i="23"/>
  <c r="K50" i="23"/>
  <c r="L50" i="23"/>
  <c r="J51" i="23"/>
  <c r="K51" i="23"/>
  <c r="L51" i="23"/>
  <c r="J52" i="23"/>
  <c r="K52" i="23"/>
  <c r="L52" i="23"/>
  <c r="J53" i="23"/>
  <c r="K53" i="23"/>
  <c r="L53" i="23"/>
  <c r="J54" i="23"/>
  <c r="K54" i="23"/>
  <c r="L54" i="23"/>
  <c r="J55" i="23"/>
  <c r="K55" i="23"/>
  <c r="L55" i="23"/>
  <c r="J56" i="23"/>
  <c r="K56" i="23"/>
  <c r="L56" i="23"/>
  <c r="J57" i="23"/>
  <c r="K57" i="23"/>
  <c r="L57" i="23"/>
  <c r="J58" i="23"/>
  <c r="K58" i="23"/>
  <c r="L58" i="23"/>
  <c r="J59" i="23"/>
  <c r="K59" i="23"/>
  <c r="L59" i="23"/>
  <c r="J60" i="23"/>
  <c r="K60" i="23"/>
  <c r="L60" i="23"/>
  <c r="J61" i="23"/>
  <c r="K61" i="23"/>
  <c r="L61" i="23"/>
  <c r="J62" i="23"/>
  <c r="K62" i="23"/>
  <c r="L62" i="23"/>
  <c r="J63" i="23"/>
  <c r="K63" i="23"/>
  <c r="L63" i="23"/>
  <c r="J64" i="23"/>
  <c r="K64" i="23"/>
  <c r="L64" i="23"/>
  <c r="J65" i="23"/>
  <c r="K65" i="23"/>
  <c r="L65" i="23"/>
  <c r="J66" i="23"/>
  <c r="K66" i="23"/>
  <c r="L66" i="23"/>
  <c r="J67" i="23"/>
  <c r="K67" i="23"/>
  <c r="L67" i="23"/>
  <c r="J68" i="23"/>
  <c r="K68" i="23"/>
  <c r="L68" i="23"/>
  <c r="J69" i="23"/>
  <c r="K69" i="23"/>
  <c r="L69" i="23"/>
  <c r="J70" i="23"/>
  <c r="K70" i="23"/>
  <c r="L70" i="23"/>
  <c r="J71" i="23"/>
  <c r="K71" i="23"/>
  <c r="L71" i="23"/>
  <c r="J72" i="23"/>
  <c r="K72" i="23"/>
  <c r="L72" i="23"/>
  <c r="J73" i="23"/>
  <c r="K73" i="23"/>
  <c r="L73" i="23"/>
  <c r="J74" i="23"/>
  <c r="K74" i="23"/>
  <c r="L74" i="23"/>
  <c r="J75" i="23"/>
  <c r="K75" i="23"/>
  <c r="L75" i="23"/>
  <c r="J76" i="23"/>
  <c r="K76" i="23"/>
  <c r="L76" i="23"/>
  <c r="J77" i="23"/>
  <c r="K77" i="23"/>
  <c r="L77" i="23"/>
  <c r="J78" i="23"/>
  <c r="K78" i="23"/>
  <c r="L78" i="23"/>
  <c r="J79" i="23"/>
  <c r="K79" i="23"/>
  <c r="L79" i="23"/>
  <c r="J80" i="23"/>
  <c r="K80" i="23"/>
  <c r="L80" i="23"/>
  <c r="J81" i="23"/>
  <c r="K81" i="23"/>
  <c r="L81" i="23"/>
  <c r="J82" i="23"/>
  <c r="K82" i="23"/>
  <c r="L82" i="23"/>
  <c r="J83" i="23"/>
  <c r="K83" i="23"/>
  <c r="L83" i="23"/>
  <c r="J84" i="23"/>
  <c r="K84" i="23"/>
  <c r="L84" i="23"/>
  <c r="J85" i="23"/>
  <c r="K85" i="23"/>
  <c r="L85" i="23"/>
  <c r="J86" i="23"/>
  <c r="K86" i="23"/>
  <c r="L86" i="23"/>
  <c r="J87" i="23"/>
  <c r="K87" i="23"/>
  <c r="L87" i="23"/>
  <c r="J88" i="23"/>
  <c r="K88" i="23"/>
  <c r="L88" i="23"/>
  <c r="J89" i="23"/>
  <c r="K89" i="23"/>
  <c r="L89" i="23"/>
  <c r="J90" i="23"/>
  <c r="K90" i="23"/>
  <c r="L90" i="23"/>
  <c r="J91" i="23"/>
  <c r="K91" i="23"/>
  <c r="L91" i="23"/>
  <c r="J92" i="23"/>
  <c r="K92" i="23"/>
  <c r="L92" i="23"/>
  <c r="J93" i="23"/>
  <c r="K93" i="23"/>
  <c r="L93" i="23"/>
  <c r="J94" i="23"/>
  <c r="K94" i="23"/>
  <c r="L94" i="23"/>
  <c r="J95" i="23"/>
  <c r="K95" i="23"/>
  <c r="L95" i="23"/>
  <c r="J96" i="23"/>
  <c r="K96" i="23"/>
  <c r="L96" i="23"/>
  <c r="J97" i="23"/>
  <c r="K97" i="23"/>
  <c r="L97" i="23"/>
  <c r="J98" i="23"/>
  <c r="K98" i="23"/>
  <c r="L98" i="23"/>
  <c r="J99" i="23"/>
  <c r="K99" i="23"/>
  <c r="L99" i="23"/>
  <c r="J100" i="23"/>
  <c r="K100" i="23"/>
  <c r="L100" i="23"/>
  <c r="J101" i="23"/>
  <c r="K101" i="23"/>
  <c r="L101" i="23"/>
  <c r="J102" i="23"/>
  <c r="K102" i="23"/>
  <c r="L102" i="23"/>
  <c r="J103" i="23"/>
  <c r="K103" i="23"/>
  <c r="L103" i="23"/>
  <c r="J104" i="23"/>
  <c r="K104" i="23"/>
  <c r="L104" i="23"/>
  <c r="J105" i="23"/>
  <c r="K105" i="23"/>
  <c r="L105" i="23"/>
  <c r="J106" i="23"/>
  <c r="K106" i="23"/>
  <c r="L106" i="23"/>
  <c r="J107" i="23"/>
  <c r="K107" i="23"/>
  <c r="L107" i="23"/>
  <c r="J108" i="23"/>
  <c r="K108" i="23"/>
  <c r="L108" i="23"/>
  <c r="J109" i="23"/>
  <c r="K109" i="23"/>
  <c r="L109" i="23"/>
  <c r="J110" i="23"/>
  <c r="K110" i="23"/>
  <c r="L110" i="23"/>
  <c r="J111" i="23"/>
  <c r="K111" i="23"/>
  <c r="L111" i="23"/>
  <c r="J112" i="23"/>
  <c r="K112" i="23"/>
  <c r="L112" i="23"/>
  <c r="J113" i="23"/>
  <c r="K113" i="23"/>
  <c r="L113" i="23"/>
  <c r="J114" i="23"/>
  <c r="K114" i="23"/>
  <c r="L114" i="23"/>
  <c r="J115" i="23"/>
  <c r="K115" i="23"/>
  <c r="L115" i="23"/>
  <c r="J116" i="23"/>
  <c r="K116" i="23"/>
  <c r="L116" i="23"/>
  <c r="J117" i="23"/>
  <c r="K117" i="23"/>
  <c r="L117" i="23"/>
  <c r="J118" i="23"/>
  <c r="K118" i="23"/>
  <c r="L118" i="23"/>
  <c r="J119" i="23"/>
  <c r="K119" i="23"/>
  <c r="L119" i="23"/>
  <c r="J120" i="23"/>
  <c r="K120" i="23"/>
  <c r="L120" i="23"/>
  <c r="J121" i="23"/>
  <c r="K121" i="23"/>
  <c r="L121" i="23"/>
  <c r="J122" i="23"/>
  <c r="K122" i="23"/>
  <c r="L122" i="23"/>
  <c r="J123" i="23"/>
  <c r="K123" i="23"/>
  <c r="L123" i="23"/>
  <c r="J124" i="23"/>
  <c r="K124" i="23"/>
  <c r="L124" i="23"/>
  <c r="J125" i="23"/>
  <c r="K125" i="23"/>
  <c r="L125" i="23"/>
  <c r="J126" i="23"/>
  <c r="K126" i="23"/>
  <c r="L126" i="23"/>
  <c r="J127" i="23"/>
  <c r="K127" i="23"/>
  <c r="L127" i="23"/>
  <c r="J128" i="23"/>
  <c r="K128" i="23"/>
  <c r="L128" i="23"/>
  <c r="J129" i="23"/>
  <c r="K129" i="23"/>
  <c r="L129" i="23"/>
  <c r="J130" i="23"/>
  <c r="K130" i="23"/>
  <c r="L130" i="23"/>
  <c r="J131" i="23"/>
  <c r="K131" i="23"/>
  <c r="L131" i="23"/>
  <c r="J132" i="23"/>
  <c r="K132" i="23"/>
  <c r="L132" i="23"/>
  <c r="J133" i="23"/>
  <c r="K133" i="23"/>
  <c r="L133" i="23"/>
  <c r="J134" i="23"/>
  <c r="K134" i="23"/>
  <c r="L134" i="23"/>
  <c r="J135" i="23"/>
  <c r="K135" i="23"/>
  <c r="L135" i="23"/>
  <c r="J136" i="23"/>
  <c r="K136" i="23"/>
  <c r="L136" i="23"/>
  <c r="J137" i="23"/>
  <c r="K137" i="23"/>
  <c r="L137" i="23"/>
  <c r="J138" i="23"/>
  <c r="K138" i="23"/>
  <c r="L138" i="23"/>
  <c r="J139" i="23"/>
  <c r="K139" i="23"/>
  <c r="L139" i="23"/>
  <c r="J140" i="23"/>
  <c r="K140" i="23"/>
  <c r="L140" i="23"/>
  <c r="J141" i="23"/>
  <c r="K141" i="23"/>
  <c r="L141" i="23"/>
  <c r="J142" i="23"/>
  <c r="K142" i="23"/>
  <c r="L142" i="23"/>
  <c r="J143" i="23"/>
  <c r="K143" i="23"/>
  <c r="L143" i="23"/>
  <c r="J144" i="23"/>
  <c r="K144" i="23"/>
  <c r="L144" i="23"/>
  <c r="J145" i="23"/>
  <c r="K145" i="23"/>
  <c r="L145" i="23"/>
  <c r="J146" i="23"/>
  <c r="K146" i="23"/>
  <c r="L146" i="23"/>
  <c r="J147" i="23"/>
  <c r="K147" i="23"/>
  <c r="L147" i="23"/>
  <c r="J148" i="23"/>
  <c r="K148" i="23"/>
  <c r="L148" i="23"/>
  <c r="J149" i="23"/>
  <c r="K149" i="23"/>
  <c r="L149" i="23"/>
  <c r="J150" i="23"/>
  <c r="K150" i="23"/>
  <c r="L150" i="23"/>
  <c r="J151" i="23"/>
  <c r="K151" i="23"/>
  <c r="L151" i="23"/>
  <c r="J152" i="23"/>
  <c r="K152" i="23"/>
  <c r="L152" i="23"/>
  <c r="J153" i="23"/>
  <c r="K153" i="23"/>
  <c r="L153" i="23"/>
  <c r="J154" i="23"/>
  <c r="K154" i="23"/>
  <c r="L154" i="23"/>
  <c r="J155" i="23"/>
  <c r="K155" i="23"/>
  <c r="L155" i="23"/>
  <c r="J156" i="23"/>
  <c r="K156" i="23"/>
  <c r="L156" i="23"/>
  <c r="J157" i="23"/>
  <c r="K157" i="23"/>
  <c r="L157" i="23"/>
  <c r="J158" i="23"/>
  <c r="K158" i="23"/>
  <c r="L158" i="23"/>
  <c r="J159" i="23"/>
  <c r="K159" i="23"/>
  <c r="L159" i="23"/>
  <c r="J160" i="23"/>
  <c r="K160" i="23"/>
  <c r="L160" i="23"/>
  <c r="J161" i="23"/>
  <c r="K161" i="23"/>
  <c r="L161" i="23"/>
  <c r="J162" i="23"/>
  <c r="K162" i="23"/>
  <c r="L162" i="23"/>
  <c r="J163" i="23"/>
  <c r="K163" i="23"/>
  <c r="L163" i="23"/>
  <c r="J164" i="23"/>
  <c r="K164" i="23"/>
  <c r="L164" i="23"/>
  <c r="J165" i="23"/>
  <c r="K165" i="23"/>
  <c r="L165" i="23"/>
  <c r="J166" i="23"/>
  <c r="K166" i="23"/>
  <c r="L166" i="23"/>
  <c r="J167" i="23"/>
  <c r="K167" i="23"/>
  <c r="L167" i="23"/>
  <c r="J168" i="23"/>
  <c r="K168" i="23"/>
  <c r="L168" i="23"/>
  <c r="J169" i="23"/>
  <c r="K169" i="23"/>
  <c r="L169" i="23"/>
  <c r="J170" i="23"/>
  <c r="K170" i="23"/>
  <c r="L170" i="23"/>
  <c r="J171" i="23"/>
  <c r="K171" i="23"/>
  <c r="L171" i="23"/>
  <c r="J172" i="23"/>
  <c r="K172" i="23"/>
  <c r="L172" i="23"/>
  <c r="J173" i="23"/>
  <c r="K173" i="23"/>
  <c r="L173" i="23"/>
  <c r="J174" i="23"/>
  <c r="K174" i="23"/>
  <c r="L174" i="23"/>
  <c r="J175" i="23"/>
  <c r="K175" i="23"/>
  <c r="L175" i="23"/>
  <c r="J176" i="23"/>
  <c r="K176" i="23"/>
  <c r="L176" i="23"/>
  <c r="J177" i="23"/>
  <c r="K177" i="23"/>
  <c r="L177" i="23"/>
  <c r="J178" i="23"/>
  <c r="K178" i="23"/>
  <c r="L178" i="23"/>
  <c r="J179" i="23"/>
  <c r="K179" i="23"/>
  <c r="L179" i="23"/>
  <c r="J180" i="23"/>
  <c r="K180" i="23"/>
  <c r="L180" i="23"/>
  <c r="J181" i="23"/>
  <c r="K181" i="23"/>
  <c r="L181" i="23"/>
  <c r="J182" i="23"/>
  <c r="K182" i="23"/>
  <c r="L182" i="23"/>
  <c r="J183" i="23"/>
  <c r="K183" i="23"/>
  <c r="L183" i="23"/>
  <c r="J184" i="23"/>
  <c r="K184" i="23"/>
  <c r="L184" i="23"/>
  <c r="J185" i="23"/>
  <c r="K185" i="23"/>
  <c r="L185" i="23"/>
  <c r="J186" i="23"/>
  <c r="K186" i="23"/>
  <c r="L186" i="23"/>
  <c r="J187" i="23"/>
  <c r="K187" i="23"/>
  <c r="L187" i="23"/>
  <c r="J188" i="23"/>
  <c r="K188" i="23"/>
  <c r="L188" i="23"/>
  <c r="J189" i="23"/>
  <c r="K189" i="23"/>
  <c r="L189" i="23"/>
  <c r="J190" i="23"/>
  <c r="K190" i="23"/>
  <c r="L190" i="23"/>
  <c r="J191" i="23"/>
  <c r="K191" i="23"/>
  <c r="L191" i="23"/>
  <c r="J192" i="23"/>
  <c r="K192" i="23"/>
  <c r="L192" i="23"/>
  <c r="J193" i="23"/>
  <c r="K193" i="23"/>
  <c r="L193" i="23"/>
  <c r="J194" i="23"/>
  <c r="K194" i="23"/>
  <c r="L194" i="23"/>
  <c r="J195" i="23"/>
  <c r="K195" i="23"/>
  <c r="L195" i="23"/>
  <c r="J196" i="23"/>
  <c r="K196" i="23"/>
  <c r="L196" i="23"/>
  <c r="J197" i="23"/>
  <c r="K197" i="23"/>
  <c r="L197" i="23"/>
  <c r="J198" i="23"/>
  <c r="K198" i="23"/>
  <c r="L198" i="23"/>
  <c r="J199" i="23"/>
  <c r="K199" i="23"/>
  <c r="L199" i="23"/>
  <c r="J200" i="23"/>
  <c r="K200" i="23"/>
  <c r="L200" i="23"/>
  <c r="J201" i="23"/>
  <c r="K201" i="23"/>
  <c r="L201" i="23"/>
  <c r="J202" i="23"/>
  <c r="K202" i="23"/>
  <c r="L202" i="23"/>
  <c r="J203" i="23"/>
  <c r="K203" i="23"/>
  <c r="L203" i="23"/>
  <c r="J204" i="23"/>
  <c r="K204" i="23"/>
  <c r="L204" i="23"/>
  <c r="J205" i="23"/>
  <c r="K205" i="23"/>
  <c r="L205" i="23"/>
  <c r="J206" i="23"/>
  <c r="K206" i="23"/>
  <c r="L206" i="23"/>
  <c r="J207" i="23"/>
  <c r="K207" i="23"/>
  <c r="L207" i="23"/>
  <c r="J208" i="23"/>
  <c r="K208" i="23"/>
  <c r="L208" i="23"/>
  <c r="J209" i="23"/>
  <c r="K209" i="23"/>
  <c r="L209" i="23"/>
  <c r="J210" i="23"/>
  <c r="K210" i="23"/>
  <c r="L210" i="23"/>
  <c r="J211" i="23"/>
  <c r="K211" i="23"/>
  <c r="L211" i="23"/>
  <c r="J212" i="23"/>
  <c r="K212" i="23"/>
  <c r="L212" i="23"/>
  <c r="J213" i="23"/>
  <c r="K213" i="23"/>
  <c r="L213" i="23"/>
  <c r="J214" i="23"/>
  <c r="K214" i="23"/>
  <c r="L214" i="23"/>
  <c r="J215" i="23"/>
  <c r="K215" i="23"/>
  <c r="L215" i="23"/>
  <c r="J216" i="23"/>
  <c r="K216" i="23"/>
  <c r="L216" i="23"/>
  <c r="J217" i="23"/>
  <c r="K217" i="23"/>
  <c r="L217" i="23"/>
  <c r="J218" i="23"/>
  <c r="K218" i="23"/>
  <c r="L218" i="23"/>
  <c r="J219" i="23"/>
  <c r="K219" i="23"/>
  <c r="L219" i="23"/>
  <c r="J220" i="23"/>
  <c r="K220" i="23"/>
  <c r="L220" i="23"/>
  <c r="J221" i="23"/>
  <c r="K221" i="23"/>
  <c r="L221" i="23"/>
  <c r="J222" i="23"/>
  <c r="K222" i="23"/>
  <c r="L222" i="23"/>
  <c r="K2" i="23"/>
  <c r="L2" i="23"/>
  <c r="J2" i="23"/>
  <c r="I222" i="23"/>
  <c r="I221" i="23"/>
  <c r="I220" i="23"/>
  <c r="I219" i="23"/>
  <c r="I218" i="23"/>
  <c r="I217" i="23"/>
  <c r="I216" i="23"/>
  <c r="I215" i="23"/>
  <c r="I214" i="23"/>
  <c r="I213" i="23"/>
  <c r="I212" i="23"/>
  <c r="I211" i="23"/>
  <c r="I210" i="23"/>
  <c r="I209" i="23"/>
  <c r="I208" i="23"/>
  <c r="I207" i="23"/>
  <c r="I206" i="23"/>
  <c r="I205" i="23"/>
  <c r="I204" i="23"/>
  <c r="I203" i="23"/>
  <c r="I202" i="23"/>
  <c r="I201" i="23"/>
  <c r="I200" i="23"/>
  <c r="I199" i="23"/>
  <c r="I198" i="23"/>
  <c r="I197" i="23"/>
  <c r="I196" i="23"/>
  <c r="I195" i="23"/>
  <c r="I194" i="23"/>
  <c r="I193" i="23"/>
  <c r="I192" i="23"/>
  <c r="I191" i="23"/>
  <c r="I190" i="23"/>
  <c r="I189" i="23"/>
  <c r="I188" i="23"/>
  <c r="I187" i="23"/>
  <c r="I186" i="23"/>
  <c r="I185" i="23"/>
  <c r="I184" i="23"/>
  <c r="I183" i="23"/>
  <c r="I182" i="23"/>
  <c r="I181" i="23"/>
  <c r="I180" i="23"/>
  <c r="I179" i="23"/>
  <c r="I178" i="23"/>
  <c r="I177" i="23"/>
  <c r="I176" i="23"/>
  <c r="I175" i="23"/>
  <c r="I174" i="23"/>
  <c r="I173" i="23"/>
  <c r="I172" i="23"/>
  <c r="I171" i="23"/>
  <c r="I170" i="23"/>
  <c r="I169" i="23"/>
  <c r="I168" i="23"/>
  <c r="I167" i="23"/>
  <c r="I166" i="23"/>
  <c r="I165" i="23"/>
  <c r="I164" i="23"/>
  <c r="I163" i="23"/>
  <c r="I162" i="23"/>
  <c r="I161" i="23"/>
  <c r="I160" i="23"/>
  <c r="I159" i="23"/>
  <c r="I158" i="23"/>
  <c r="I157" i="23"/>
  <c r="I156" i="23"/>
  <c r="I155" i="23"/>
  <c r="I154" i="23"/>
  <c r="I153" i="23"/>
  <c r="I152" i="23"/>
  <c r="I151" i="23"/>
  <c r="I150" i="23"/>
  <c r="I149" i="23"/>
  <c r="I148" i="23"/>
  <c r="I147" i="23"/>
  <c r="I146" i="23"/>
  <c r="I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I230" i="22"/>
  <c r="I229" i="22"/>
  <c r="M227" i="22"/>
  <c r="K226" i="22"/>
  <c r="L226" i="22"/>
  <c r="J226" i="22"/>
  <c r="I225" i="22"/>
  <c r="L222" i="22"/>
  <c r="K222" i="22"/>
  <c r="J222" i="22"/>
  <c r="I222" i="22"/>
  <c r="L221" i="22"/>
  <c r="K221" i="22"/>
  <c r="J221" i="22"/>
  <c r="I221" i="22"/>
  <c r="L220" i="22"/>
  <c r="K220" i="22"/>
  <c r="J220" i="22"/>
  <c r="I220" i="22"/>
  <c r="L219" i="22"/>
  <c r="K219" i="22"/>
  <c r="J219" i="22"/>
  <c r="I219" i="22"/>
  <c r="L218" i="22"/>
  <c r="K218" i="22"/>
  <c r="J218" i="22"/>
  <c r="I218" i="22"/>
  <c r="L217" i="22"/>
  <c r="K217" i="22"/>
  <c r="J217" i="22"/>
  <c r="I217" i="22"/>
  <c r="L216" i="22"/>
  <c r="K216" i="22"/>
  <c r="J216" i="22"/>
  <c r="I216" i="22"/>
  <c r="L215" i="22"/>
  <c r="K215" i="22"/>
  <c r="J215" i="22"/>
  <c r="I215" i="22"/>
  <c r="L214" i="22"/>
  <c r="K214" i="22"/>
  <c r="J214" i="22"/>
  <c r="I214" i="22"/>
  <c r="L213" i="22"/>
  <c r="K213" i="22"/>
  <c r="J213" i="22"/>
  <c r="I213" i="22"/>
  <c r="L212" i="22"/>
  <c r="K212" i="22"/>
  <c r="J212" i="22"/>
  <c r="I212" i="22"/>
  <c r="L211" i="22"/>
  <c r="K211" i="22"/>
  <c r="J211" i="22"/>
  <c r="I211" i="22"/>
  <c r="L210" i="22"/>
  <c r="K210" i="22"/>
  <c r="J210" i="22"/>
  <c r="I210" i="22"/>
  <c r="L209" i="22"/>
  <c r="K209" i="22"/>
  <c r="J209" i="22"/>
  <c r="I209" i="22"/>
  <c r="L208" i="22"/>
  <c r="K208" i="22"/>
  <c r="J208" i="22"/>
  <c r="I208" i="22"/>
  <c r="L207" i="22"/>
  <c r="K207" i="22"/>
  <c r="J207" i="22"/>
  <c r="I207" i="22"/>
  <c r="L206" i="22"/>
  <c r="K206" i="22"/>
  <c r="J206" i="22"/>
  <c r="I206" i="22"/>
  <c r="L205" i="22"/>
  <c r="K205" i="22"/>
  <c r="J205" i="22"/>
  <c r="I205" i="22"/>
  <c r="L204" i="22"/>
  <c r="K204" i="22"/>
  <c r="J204" i="22"/>
  <c r="I204" i="22"/>
  <c r="L203" i="22"/>
  <c r="K203" i="22"/>
  <c r="J203" i="22"/>
  <c r="I203" i="22"/>
  <c r="L202" i="22"/>
  <c r="K202" i="22"/>
  <c r="J202" i="22"/>
  <c r="I202" i="22"/>
  <c r="L201" i="22"/>
  <c r="K201" i="22"/>
  <c r="J201" i="22"/>
  <c r="I201" i="22"/>
  <c r="L200" i="22"/>
  <c r="K200" i="22"/>
  <c r="J200" i="22"/>
  <c r="I200" i="22"/>
  <c r="L199" i="22"/>
  <c r="K199" i="22"/>
  <c r="J199" i="22"/>
  <c r="I199" i="22"/>
  <c r="L198" i="22"/>
  <c r="K198" i="22"/>
  <c r="J198" i="22"/>
  <c r="I198" i="22"/>
  <c r="L197" i="22"/>
  <c r="K197" i="22"/>
  <c r="J197" i="22"/>
  <c r="I197" i="22"/>
  <c r="L196" i="22"/>
  <c r="K196" i="22"/>
  <c r="J196" i="22"/>
  <c r="I196" i="22"/>
  <c r="L195" i="22"/>
  <c r="K195" i="22"/>
  <c r="J195" i="22"/>
  <c r="I195" i="22"/>
  <c r="L194" i="22"/>
  <c r="K194" i="22"/>
  <c r="J194" i="22"/>
  <c r="I194" i="22"/>
  <c r="L193" i="22"/>
  <c r="K193" i="22"/>
  <c r="J193" i="22"/>
  <c r="I193" i="22"/>
  <c r="L192" i="22"/>
  <c r="K192" i="22"/>
  <c r="J192" i="22"/>
  <c r="I192" i="22"/>
  <c r="L191" i="22"/>
  <c r="K191" i="22"/>
  <c r="J191" i="22"/>
  <c r="I191" i="22"/>
  <c r="L190" i="22"/>
  <c r="K190" i="22"/>
  <c r="J190" i="22"/>
  <c r="I190" i="22"/>
  <c r="L189" i="22"/>
  <c r="K189" i="22"/>
  <c r="J189" i="22"/>
  <c r="I189" i="22"/>
  <c r="L188" i="22"/>
  <c r="K188" i="22"/>
  <c r="J188" i="22"/>
  <c r="I188" i="22"/>
  <c r="L187" i="22"/>
  <c r="K187" i="22"/>
  <c r="J187" i="22"/>
  <c r="I187" i="22"/>
  <c r="L186" i="22"/>
  <c r="K186" i="22"/>
  <c r="J186" i="22"/>
  <c r="I186" i="22"/>
  <c r="L185" i="22"/>
  <c r="K185" i="22"/>
  <c r="J185" i="22"/>
  <c r="I185" i="22"/>
  <c r="L184" i="22"/>
  <c r="K184" i="22"/>
  <c r="J184" i="22"/>
  <c r="I184" i="22"/>
  <c r="L183" i="22"/>
  <c r="K183" i="22"/>
  <c r="J183" i="22"/>
  <c r="I183" i="22"/>
  <c r="L182" i="22"/>
  <c r="K182" i="22"/>
  <c r="J182" i="22"/>
  <c r="I182" i="22"/>
  <c r="L181" i="22"/>
  <c r="K181" i="22"/>
  <c r="J181" i="22"/>
  <c r="I181" i="22"/>
  <c r="L180" i="22"/>
  <c r="K180" i="22"/>
  <c r="J180" i="22"/>
  <c r="I180" i="22"/>
  <c r="L179" i="22"/>
  <c r="K179" i="22"/>
  <c r="J179" i="22"/>
  <c r="I179" i="22"/>
  <c r="L178" i="22"/>
  <c r="K178" i="22"/>
  <c r="J178" i="22"/>
  <c r="I178" i="22"/>
  <c r="L177" i="22"/>
  <c r="K177" i="22"/>
  <c r="J177" i="22"/>
  <c r="I177" i="22"/>
  <c r="L176" i="22"/>
  <c r="K176" i="22"/>
  <c r="J176" i="22"/>
  <c r="I176" i="22"/>
  <c r="L175" i="22"/>
  <c r="K175" i="22"/>
  <c r="J175" i="22"/>
  <c r="I175" i="22"/>
  <c r="L174" i="22"/>
  <c r="K174" i="22"/>
  <c r="J174" i="22"/>
  <c r="I174" i="22"/>
  <c r="L173" i="22"/>
  <c r="K173" i="22"/>
  <c r="J173" i="22"/>
  <c r="I173" i="22"/>
  <c r="L172" i="22"/>
  <c r="K172" i="22"/>
  <c r="J172" i="22"/>
  <c r="I172" i="22"/>
  <c r="L171" i="22"/>
  <c r="K171" i="22"/>
  <c r="J171" i="22"/>
  <c r="I171" i="22"/>
  <c r="L170" i="22"/>
  <c r="K170" i="22"/>
  <c r="J170" i="22"/>
  <c r="I170" i="22"/>
  <c r="L169" i="22"/>
  <c r="K169" i="22"/>
  <c r="J169" i="22"/>
  <c r="I169" i="22"/>
  <c r="L168" i="22"/>
  <c r="K168" i="22"/>
  <c r="J168" i="22"/>
  <c r="I168" i="22"/>
  <c r="L167" i="22"/>
  <c r="K167" i="22"/>
  <c r="J167" i="22"/>
  <c r="I167" i="22"/>
  <c r="L166" i="22"/>
  <c r="K166" i="22"/>
  <c r="J166" i="22"/>
  <c r="I166" i="22"/>
  <c r="L165" i="22"/>
  <c r="K165" i="22"/>
  <c r="J165" i="22"/>
  <c r="I165" i="22"/>
  <c r="L164" i="22"/>
  <c r="K164" i="22"/>
  <c r="J164" i="22"/>
  <c r="I164" i="22"/>
  <c r="L163" i="22"/>
  <c r="K163" i="22"/>
  <c r="J163" i="22"/>
  <c r="I163" i="22"/>
  <c r="L162" i="22"/>
  <c r="K162" i="22"/>
  <c r="J162" i="22"/>
  <c r="I162" i="22"/>
  <c r="L161" i="22"/>
  <c r="K161" i="22"/>
  <c r="J161" i="22"/>
  <c r="I161" i="22"/>
  <c r="L160" i="22"/>
  <c r="K160" i="22"/>
  <c r="J160" i="22"/>
  <c r="I160" i="22"/>
  <c r="L159" i="22"/>
  <c r="K159" i="22"/>
  <c r="J159" i="22"/>
  <c r="I159" i="22"/>
  <c r="L158" i="22"/>
  <c r="K158" i="22"/>
  <c r="J158" i="22"/>
  <c r="I158" i="22"/>
  <c r="L157" i="22"/>
  <c r="K157" i="22"/>
  <c r="J157" i="22"/>
  <c r="I157" i="22"/>
  <c r="L156" i="22"/>
  <c r="K156" i="22"/>
  <c r="J156" i="22"/>
  <c r="I156" i="22"/>
  <c r="L155" i="22"/>
  <c r="K155" i="22"/>
  <c r="J155" i="22"/>
  <c r="I155" i="22"/>
  <c r="L154" i="22"/>
  <c r="K154" i="22"/>
  <c r="J154" i="22"/>
  <c r="I154" i="22"/>
  <c r="L153" i="22"/>
  <c r="K153" i="22"/>
  <c r="J153" i="22"/>
  <c r="I153" i="22"/>
  <c r="L152" i="22"/>
  <c r="K152" i="22"/>
  <c r="J152" i="22"/>
  <c r="I152" i="22"/>
  <c r="L151" i="22"/>
  <c r="K151" i="22"/>
  <c r="J151" i="22"/>
  <c r="I151" i="22"/>
  <c r="L150" i="22"/>
  <c r="K150" i="22"/>
  <c r="J150" i="22"/>
  <c r="I150" i="22"/>
  <c r="L149" i="22"/>
  <c r="K149" i="22"/>
  <c r="J149" i="22"/>
  <c r="I149" i="22"/>
  <c r="L148" i="22"/>
  <c r="K148" i="22"/>
  <c r="J148" i="22"/>
  <c r="I148" i="22"/>
  <c r="L147" i="22"/>
  <c r="K147" i="22"/>
  <c r="J147" i="22"/>
  <c r="I147" i="22"/>
  <c r="L146" i="22"/>
  <c r="K146" i="22"/>
  <c r="J146" i="22"/>
  <c r="I146" i="22"/>
  <c r="L145" i="22"/>
  <c r="K145" i="22"/>
  <c r="J145" i="22"/>
  <c r="I145" i="22"/>
  <c r="L144" i="22"/>
  <c r="K144" i="22"/>
  <c r="J144" i="22"/>
  <c r="I144" i="22"/>
  <c r="L143" i="22"/>
  <c r="K143" i="22"/>
  <c r="J143" i="22"/>
  <c r="I143" i="22"/>
  <c r="L142" i="22"/>
  <c r="K142" i="22"/>
  <c r="J142" i="22"/>
  <c r="I142" i="22"/>
  <c r="L141" i="22"/>
  <c r="K141" i="22"/>
  <c r="J141" i="22"/>
  <c r="I141" i="22"/>
  <c r="L140" i="22"/>
  <c r="K140" i="22"/>
  <c r="J140" i="22"/>
  <c r="I140" i="22"/>
  <c r="L139" i="22"/>
  <c r="K139" i="22"/>
  <c r="J139" i="22"/>
  <c r="I139" i="22"/>
  <c r="L138" i="22"/>
  <c r="K138" i="22"/>
  <c r="J138" i="22"/>
  <c r="I138" i="22"/>
  <c r="L137" i="22"/>
  <c r="K137" i="22"/>
  <c r="J137" i="22"/>
  <c r="I137" i="22"/>
  <c r="L136" i="22"/>
  <c r="K136" i="22"/>
  <c r="J136" i="22"/>
  <c r="I136" i="22"/>
  <c r="L135" i="22"/>
  <c r="K135" i="22"/>
  <c r="J135" i="22"/>
  <c r="I135" i="22"/>
  <c r="L134" i="22"/>
  <c r="K134" i="22"/>
  <c r="J134" i="22"/>
  <c r="I134" i="22"/>
  <c r="L133" i="22"/>
  <c r="K133" i="22"/>
  <c r="J133" i="22"/>
  <c r="I133" i="22"/>
  <c r="L132" i="22"/>
  <c r="K132" i="22"/>
  <c r="J132" i="22"/>
  <c r="I132" i="22"/>
  <c r="L131" i="22"/>
  <c r="K131" i="22"/>
  <c r="J131" i="22"/>
  <c r="I131" i="22"/>
  <c r="L130" i="22"/>
  <c r="K130" i="22"/>
  <c r="J130" i="22"/>
  <c r="I130" i="22"/>
  <c r="L129" i="22"/>
  <c r="K129" i="22"/>
  <c r="J129" i="22"/>
  <c r="I129" i="22"/>
  <c r="L128" i="22"/>
  <c r="K128" i="22"/>
  <c r="J128" i="22"/>
  <c r="I128" i="22"/>
  <c r="L127" i="22"/>
  <c r="K127" i="22"/>
  <c r="J127" i="22"/>
  <c r="I127" i="22"/>
  <c r="L126" i="22"/>
  <c r="K126" i="22"/>
  <c r="J126" i="22"/>
  <c r="I126" i="22"/>
  <c r="L125" i="22"/>
  <c r="K125" i="22"/>
  <c r="J125" i="22"/>
  <c r="I125" i="22"/>
  <c r="L124" i="22"/>
  <c r="K124" i="22"/>
  <c r="J124" i="22"/>
  <c r="I124" i="22"/>
  <c r="L123" i="22"/>
  <c r="K123" i="22"/>
  <c r="J123" i="22"/>
  <c r="I123" i="22"/>
  <c r="L122" i="22"/>
  <c r="K122" i="22"/>
  <c r="J122" i="22"/>
  <c r="I122" i="22"/>
  <c r="L121" i="22"/>
  <c r="K121" i="22"/>
  <c r="J121" i="22"/>
  <c r="I121" i="22"/>
  <c r="L120" i="22"/>
  <c r="K120" i="22"/>
  <c r="J120" i="22"/>
  <c r="I120" i="22"/>
  <c r="L119" i="22"/>
  <c r="K119" i="22"/>
  <c r="J119" i="22"/>
  <c r="I119" i="22"/>
  <c r="L118" i="22"/>
  <c r="K118" i="22"/>
  <c r="J118" i="22"/>
  <c r="I118" i="22"/>
  <c r="L117" i="22"/>
  <c r="K117" i="22"/>
  <c r="J117" i="22"/>
  <c r="I117" i="22"/>
  <c r="L116" i="22"/>
  <c r="K116" i="22"/>
  <c r="J116" i="22"/>
  <c r="I116" i="22"/>
  <c r="L115" i="22"/>
  <c r="K115" i="22"/>
  <c r="J115" i="22"/>
  <c r="I115" i="22"/>
  <c r="L114" i="22"/>
  <c r="K114" i="22"/>
  <c r="J114" i="22"/>
  <c r="I114" i="22"/>
  <c r="L113" i="22"/>
  <c r="K113" i="22"/>
  <c r="J113" i="22"/>
  <c r="I113" i="22"/>
  <c r="L112" i="22"/>
  <c r="K112" i="22"/>
  <c r="J112" i="22"/>
  <c r="I112" i="22"/>
  <c r="L111" i="22"/>
  <c r="K111" i="22"/>
  <c r="J111" i="22"/>
  <c r="I111" i="22"/>
  <c r="L110" i="22"/>
  <c r="K110" i="22"/>
  <c r="J110" i="22"/>
  <c r="I110" i="22"/>
  <c r="L109" i="22"/>
  <c r="K109" i="22"/>
  <c r="J109" i="22"/>
  <c r="I109" i="22"/>
  <c r="L108" i="22"/>
  <c r="K108" i="22"/>
  <c r="J108" i="22"/>
  <c r="I108" i="22"/>
  <c r="L107" i="22"/>
  <c r="K107" i="22"/>
  <c r="J107" i="22"/>
  <c r="I107" i="22"/>
  <c r="L106" i="22"/>
  <c r="K106" i="22"/>
  <c r="J106" i="22"/>
  <c r="I106" i="22"/>
  <c r="L105" i="22"/>
  <c r="K105" i="22"/>
  <c r="J105" i="22"/>
  <c r="I105" i="22"/>
  <c r="L70" i="22"/>
  <c r="K70" i="22"/>
  <c r="J70" i="22"/>
  <c r="I70" i="22"/>
  <c r="L69" i="22"/>
  <c r="K69" i="22"/>
  <c r="J69" i="22"/>
  <c r="I69" i="22"/>
  <c r="L68" i="22"/>
  <c r="K68" i="22"/>
  <c r="J68" i="22"/>
  <c r="I68" i="22"/>
  <c r="L67" i="22"/>
  <c r="K67" i="22"/>
  <c r="J67" i="22"/>
  <c r="I67" i="22"/>
  <c r="L66" i="22"/>
  <c r="K66" i="22"/>
  <c r="J66" i="22"/>
  <c r="I66" i="22"/>
  <c r="L65" i="22"/>
  <c r="K65" i="22"/>
  <c r="J65" i="22"/>
  <c r="I65" i="22"/>
  <c r="L64" i="22"/>
  <c r="K64" i="22"/>
  <c r="J64" i="22"/>
  <c r="I64" i="22"/>
  <c r="L63" i="22"/>
  <c r="K63" i="22"/>
  <c r="J63" i="22"/>
  <c r="I63" i="22"/>
  <c r="L62" i="22"/>
  <c r="K62" i="22"/>
  <c r="J62" i="22"/>
  <c r="I62" i="22"/>
  <c r="L61" i="22"/>
  <c r="K61" i="22"/>
  <c r="J61" i="22"/>
  <c r="I61" i="22"/>
  <c r="L60" i="22"/>
  <c r="K60" i="22"/>
  <c r="J60" i="22"/>
  <c r="I60" i="22"/>
  <c r="L59" i="22"/>
  <c r="K59" i="22"/>
  <c r="J59" i="22"/>
  <c r="I59" i="22"/>
  <c r="L58" i="22"/>
  <c r="K58" i="22"/>
  <c r="J58" i="22"/>
  <c r="I58" i="22"/>
  <c r="L57" i="22"/>
  <c r="K57" i="22"/>
  <c r="J57" i="22"/>
  <c r="I57" i="22"/>
  <c r="L56" i="22"/>
  <c r="K56" i="22"/>
  <c r="J56" i="22"/>
  <c r="I56" i="22"/>
  <c r="L55" i="22"/>
  <c r="K55" i="22"/>
  <c r="J55" i="22"/>
  <c r="I55" i="22"/>
  <c r="L54" i="22"/>
  <c r="K54" i="22"/>
  <c r="J54" i="22"/>
  <c r="I54" i="22"/>
  <c r="L53" i="22"/>
  <c r="K53" i="22"/>
  <c r="J53" i="22"/>
  <c r="I53" i="22"/>
  <c r="L52" i="22"/>
  <c r="K52" i="22"/>
  <c r="J52" i="22"/>
  <c r="I52" i="22"/>
  <c r="L51" i="22"/>
  <c r="K51" i="22"/>
  <c r="J51" i="22"/>
  <c r="I51" i="22"/>
  <c r="L50" i="22"/>
  <c r="K50" i="22"/>
  <c r="J50" i="22"/>
  <c r="I50" i="22"/>
  <c r="L49" i="22"/>
  <c r="K49" i="22"/>
  <c r="J49" i="22"/>
  <c r="I49" i="22"/>
  <c r="L48" i="22"/>
  <c r="K48" i="22"/>
  <c r="J48" i="22"/>
  <c r="I48" i="22"/>
  <c r="L47" i="22"/>
  <c r="K47" i="22"/>
  <c r="J47" i="22"/>
  <c r="I47" i="22"/>
  <c r="L46" i="22"/>
  <c r="K46" i="22"/>
  <c r="J46" i="22"/>
  <c r="I46" i="22"/>
  <c r="L45" i="22"/>
  <c r="K45" i="22"/>
  <c r="J45" i="22"/>
  <c r="I45" i="22"/>
  <c r="L44" i="22"/>
  <c r="K44" i="22"/>
  <c r="J44" i="22"/>
  <c r="I44" i="22"/>
  <c r="L43" i="22"/>
  <c r="K43" i="22"/>
  <c r="J43" i="22"/>
  <c r="I43" i="22"/>
  <c r="L42" i="22"/>
  <c r="K42" i="22"/>
  <c r="J42" i="22"/>
  <c r="I42" i="22"/>
  <c r="L41" i="22"/>
  <c r="K41" i="22"/>
  <c r="J41" i="22"/>
  <c r="I41" i="22"/>
  <c r="L40" i="22"/>
  <c r="K40" i="22"/>
  <c r="J40" i="22"/>
  <c r="I40" i="22"/>
  <c r="L39" i="22"/>
  <c r="K39" i="22"/>
  <c r="J39" i="22"/>
  <c r="I39" i="22"/>
  <c r="L38" i="22"/>
  <c r="K38" i="22"/>
  <c r="J38" i="22"/>
  <c r="I38" i="22"/>
  <c r="L37" i="22"/>
  <c r="K37" i="22"/>
  <c r="J37" i="22"/>
  <c r="I37" i="22"/>
  <c r="L36" i="22"/>
  <c r="K36" i="22"/>
  <c r="J36" i="22"/>
  <c r="I36" i="22"/>
  <c r="L35" i="22"/>
  <c r="K35" i="22"/>
  <c r="J35" i="22"/>
  <c r="I35" i="22"/>
  <c r="L34" i="22"/>
  <c r="K34" i="22"/>
  <c r="J34" i="22"/>
  <c r="I34" i="22"/>
  <c r="L33" i="22"/>
  <c r="K33" i="22"/>
  <c r="J33" i="22"/>
  <c r="I33" i="22"/>
  <c r="L32" i="22"/>
  <c r="K32" i="22"/>
  <c r="J32" i="22"/>
  <c r="I32" i="22"/>
  <c r="L31" i="22"/>
  <c r="K31" i="22"/>
  <c r="J31" i="22"/>
  <c r="I31" i="22"/>
  <c r="L30" i="22"/>
  <c r="K30" i="22"/>
  <c r="J30" i="22"/>
  <c r="I30" i="22"/>
  <c r="L29" i="22"/>
  <c r="K29" i="22"/>
  <c r="J29" i="22"/>
  <c r="I29" i="22"/>
  <c r="L28" i="22"/>
  <c r="K28" i="22"/>
  <c r="J28" i="22"/>
  <c r="I28" i="22"/>
  <c r="L27" i="22"/>
  <c r="K27" i="22"/>
  <c r="J27" i="22"/>
  <c r="I27" i="22"/>
  <c r="L26" i="22"/>
  <c r="K26" i="22"/>
  <c r="J26" i="22"/>
  <c r="I26" i="22"/>
  <c r="L25" i="22"/>
  <c r="K25" i="22"/>
  <c r="J25" i="22"/>
  <c r="I25" i="22"/>
  <c r="L24" i="22"/>
  <c r="K24" i="22"/>
  <c r="J24" i="22"/>
  <c r="I24" i="22"/>
  <c r="L23" i="22"/>
  <c r="K23" i="22"/>
  <c r="J23" i="22"/>
  <c r="I23" i="22"/>
  <c r="L22" i="22"/>
  <c r="K22" i="22"/>
  <c r="J22" i="22"/>
  <c r="I22" i="22"/>
  <c r="L21" i="22"/>
  <c r="K21" i="22"/>
  <c r="J21" i="22"/>
  <c r="I21" i="22"/>
  <c r="L20" i="22"/>
  <c r="K20" i="22"/>
  <c r="J20" i="22"/>
  <c r="I20" i="22"/>
  <c r="L19" i="22"/>
  <c r="K19" i="22"/>
  <c r="J19" i="22"/>
  <c r="I19" i="22"/>
  <c r="L18" i="22"/>
  <c r="K18" i="22"/>
  <c r="J18" i="22"/>
  <c r="I18" i="22"/>
  <c r="L17" i="22"/>
  <c r="K17" i="22"/>
  <c r="J17" i="22"/>
  <c r="I17" i="22"/>
  <c r="L16" i="22"/>
  <c r="K16" i="22"/>
  <c r="J16" i="22"/>
  <c r="I16" i="22"/>
  <c r="L15" i="22"/>
  <c r="K15" i="22"/>
  <c r="J15" i="22"/>
  <c r="I15" i="22"/>
  <c r="L14" i="22"/>
  <c r="K14" i="22"/>
  <c r="J14" i="22"/>
  <c r="I14" i="22"/>
  <c r="L13" i="22"/>
  <c r="K13" i="22"/>
  <c r="J13" i="22"/>
  <c r="I13" i="22"/>
  <c r="L12" i="22"/>
  <c r="K12" i="22"/>
  <c r="J12" i="22"/>
  <c r="I12" i="22"/>
  <c r="L11" i="22"/>
  <c r="K11" i="22"/>
  <c r="J11" i="22"/>
  <c r="I11" i="22"/>
  <c r="L10" i="22"/>
  <c r="K10" i="22"/>
  <c r="J10" i="22"/>
  <c r="I10" i="22"/>
  <c r="L9" i="22"/>
  <c r="K9" i="22"/>
  <c r="J9" i="22"/>
  <c r="I9" i="22"/>
  <c r="L8" i="22"/>
  <c r="K8" i="22"/>
  <c r="J8" i="22"/>
  <c r="I8" i="22"/>
  <c r="L7" i="22"/>
  <c r="K7" i="22"/>
  <c r="J7" i="22"/>
  <c r="I7" i="22"/>
  <c r="L6" i="22"/>
  <c r="K6" i="22"/>
  <c r="J6" i="22"/>
  <c r="I6" i="22"/>
  <c r="L5" i="22"/>
  <c r="K5" i="22"/>
  <c r="J5" i="22"/>
  <c r="I5" i="22"/>
  <c r="L4" i="22"/>
  <c r="K4" i="22"/>
  <c r="J4" i="22"/>
  <c r="I4" i="22"/>
  <c r="L3" i="22"/>
  <c r="K3" i="22"/>
  <c r="J3" i="22"/>
  <c r="I3" i="22"/>
  <c r="L2" i="22"/>
  <c r="K2" i="22"/>
  <c r="J2" i="22"/>
  <c r="I2" i="22"/>
  <c r="I44" i="19"/>
  <c r="I43" i="19"/>
  <c r="M41" i="19"/>
  <c r="K40" i="19"/>
  <c r="L40" i="19"/>
  <c r="J40" i="19"/>
  <c r="I39" i="19"/>
  <c r="I3" i="19"/>
  <c r="J3" i="19"/>
  <c r="K3" i="19"/>
  <c r="L3" i="19"/>
  <c r="I4" i="19"/>
  <c r="J4" i="19"/>
  <c r="K4" i="19"/>
  <c r="L4" i="19"/>
  <c r="I5" i="19"/>
  <c r="J5" i="19"/>
  <c r="K5" i="19"/>
  <c r="L5" i="19"/>
  <c r="I6" i="19"/>
  <c r="J6" i="19"/>
  <c r="K6" i="19"/>
  <c r="L6" i="19"/>
  <c r="I7" i="19"/>
  <c r="J7" i="19"/>
  <c r="K7" i="19"/>
  <c r="L7" i="19"/>
  <c r="I8" i="19"/>
  <c r="J8" i="19"/>
  <c r="K8" i="19"/>
  <c r="L8" i="19"/>
  <c r="I9" i="19"/>
  <c r="J9" i="19"/>
  <c r="K9" i="19"/>
  <c r="L9" i="19"/>
  <c r="I10" i="19"/>
  <c r="J10" i="19"/>
  <c r="K10" i="19"/>
  <c r="L10" i="19"/>
  <c r="I11" i="19"/>
  <c r="J11" i="19"/>
  <c r="K11" i="19"/>
  <c r="L11" i="19"/>
  <c r="I12" i="19"/>
  <c r="J12" i="19"/>
  <c r="K12" i="19"/>
  <c r="L12" i="19"/>
  <c r="I13" i="19"/>
  <c r="J13" i="19"/>
  <c r="K13" i="19"/>
  <c r="L13" i="19"/>
  <c r="I14" i="19"/>
  <c r="J14" i="19"/>
  <c r="K14" i="19"/>
  <c r="L14" i="19"/>
  <c r="I15" i="19"/>
  <c r="J15" i="19"/>
  <c r="K15" i="19"/>
  <c r="L15" i="19"/>
  <c r="I16" i="19"/>
  <c r="J16" i="19"/>
  <c r="K16" i="19"/>
  <c r="L16" i="19"/>
  <c r="I17" i="19"/>
  <c r="J17" i="19"/>
  <c r="K17" i="19"/>
  <c r="L17" i="19"/>
  <c r="I18" i="19"/>
  <c r="J18" i="19"/>
  <c r="K18" i="19"/>
  <c r="L18" i="19"/>
  <c r="I19" i="19"/>
  <c r="J19" i="19"/>
  <c r="K19" i="19"/>
  <c r="L19" i="19"/>
  <c r="I20" i="19"/>
  <c r="J20" i="19"/>
  <c r="K20" i="19"/>
  <c r="L20" i="19"/>
  <c r="I21" i="19"/>
  <c r="J21" i="19"/>
  <c r="K21" i="19"/>
  <c r="L21" i="19"/>
  <c r="I22" i="19"/>
  <c r="J22" i="19"/>
  <c r="K22" i="19"/>
  <c r="L22" i="19"/>
  <c r="I23" i="19"/>
  <c r="J23" i="19"/>
  <c r="K23" i="19"/>
  <c r="L23" i="19"/>
  <c r="I24" i="19"/>
  <c r="J24" i="19"/>
  <c r="K24" i="19"/>
  <c r="L24" i="19"/>
  <c r="I25" i="19"/>
  <c r="J25" i="19"/>
  <c r="K25" i="19"/>
  <c r="L25" i="19"/>
  <c r="I26" i="19"/>
  <c r="J26" i="19"/>
  <c r="K26" i="19"/>
  <c r="L26" i="19"/>
  <c r="I27" i="19"/>
  <c r="J27" i="19"/>
  <c r="K27" i="19"/>
  <c r="L27" i="19"/>
  <c r="I28" i="19"/>
  <c r="J28" i="19"/>
  <c r="K28" i="19"/>
  <c r="L28" i="19"/>
  <c r="I29" i="19"/>
  <c r="J29" i="19"/>
  <c r="K29" i="19"/>
  <c r="L29" i="19"/>
  <c r="I30" i="19"/>
  <c r="J30" i="19"/>
  <c r="K30" i="19"/>
  <c r="L30" i="19"/>
  <c r="I31" i="19"/>
  <c r="J31" i="19"/>
  <c r="K31" i="19"/>
  <c r="L31" i="19"/>
  <c r="I32" i="19"/>
  <c r="J32" i="19"/>
  <c r="K32" i="19"/>
  <c r="L32" i="19"/>
  <c r="I33" i="19"/>
  <c r="J33" i="19"/>
  <c r="K33" i="19"/>
  <c r="L33" i="19"/>
  <c r="I34" i="19"/>
  <c r="J34" i="19"/>
  <c r="K34" i="19"/>
  <c r="L34" i="19"/>
  <c r="I35" i="19"/>
  <c r="J35" i="19"/>
  <c r="K35" i="19"/>
  <c r="L35" i="19"/>
  <c r="I36" i="19"/>
  <c r="J36" i="19"/>
  <c r="K36" i="19"/>
  <c r="L36" i="19"/>
  <c r="I37" i="19"/>
  <c r="J37" i="19"/>
  <c r="K37" i="19"/>
  <c r="L37" i="19"/>
  <c r="I2" i="19"/>
  <c r="L2" i="19"/>
  <c r="K2" i="19"/>
  <c r="J2" i="19"/>
  <c r="L2" i="16"/>
  <c r="L28" i="16" s="1"/>
  <c r="K2" i="16"/>
  <c r="J2" i="16"/>
  <c r="I32" i="16"/>
  <c r="I31" i="16"/>
  <c r="K28" i="16"/>
  <c r="J28" i="16"/>
  <c r="I27" i="16"/>
  <c r="I3" i="16"/>
  <c r="J3" i="16"/>
  <c r="K3" i="16"/>
  <c r="L3" i="16"/>
  <c r="I4" i="16"/>
  <c r="J4" i="16"/>
  <c r="K4" i="16"/>
  <c r="L4" i="16"/>
  <c r="I5" i="16"/>
  <c r="J5" i="16"/>
  <c r="K5" i="16"/>
  <c r="L5" i="16"/>
  <c r="I6" i="16"/>
  <c r="J6" i="16"/>
  <c r="K6" i="16"/>
  <c r="L6" i="16"/>
  <c r="I7" i="16"/>
  <c r="J7" i="16"/>
  <c r="K7" i="16"/>
  <c r="L7" i="16"/>
  <c r="I8" i="16"/>
  <c r="J8" i="16"/>
  <c r="K8" i="16"/>
  <c r="L8" i="16"/>
  <c r="I9" i="16"/>
  <c r="J9" i="16"/>
  <c r="K9" i="16"/>
  <c r="L9" i="16"/>
  <c r="I10" i="16"/>
  <c r="J10" i="16"/>
  <c r="K10" i="16"/>
  <c r="L10" i="16"/>
  <c r="I11" i="16"/>
  <c r="J11" i="16"/>
  <c r="K11" i="16"/>
  <c r="L11" i="16"/>
  <c r="I12" i="16"/>
  <c r="J12" i="16"/>
  <c r="K12" i="16"/>
  <c r="L12" i="16"/>
  <c r="I13" i="16"/>
  <c r="J13" i="16"/>
  <c r="K13" i="16"/>
  <c r="L13" i="16"/>
  <c r="I14" i="16"/>
  <c r="J14" i="16"/>
  <c r="K14" i="16"/>
  <c r="L14" i="16"/>
  <c r="I15" i="16"/>
  <c r="J15" i="16"/>
  <c r="K15" i="16"/>
  <c r="L15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I19" i="16"/>
  <c r="J19" i="16"/>
  <c r="K19" i="16"/>
  <c r="L19" i="16"/>
  <c r="I20" i="16"/>
  <c r="J20" i="16"/>
  <c r="K20" i="16"/>
  <c r="L20" i="16"/>
  <c r="I21" i="16"/>
  <c r="J21" i="16"/>
  <c r="K21" i="16"/>
  <c r="L21" i="16"/>
  <c r="I22" i="16"/>
  <c r="J22" i="16"/>
  <c r="K22" i="16"/>
  <c r="L22" i="16"/>
  <c r="I23" i="16"/>
  <c r="J23" i="16"/>
  <c r="K23" i="16"/>
  <c r="L23" i="16"/>
  <c r="I24" i="16"/>
  <c r="J24" i="16"/>
  <c r="K24" i="16"/>
  <c r="L24" i="16"/>
  <c r="I25" i="16"/>
  <c r="J25" i="16"/>
  <c r="K25" i="16"/>
  <c r="L25" i="16"/>
  <c r="I2" i="16"/>
  <c r="I36" i="13"/>
  <c r="I35" i="13"/>
  <c r="K32" i="13"/>
  <c r="L32" i="13"/>
  <c r="M33" i="13"/>
  <c r="J32" i="13"/>
  <c r="I31" i="13"/>
  <c r="I3" i="13"/>
  <c r="J3" i="13"/>
  <c r="K3" i="13"/>
  <c r="L3" i="13"/>
  <c r="I4" i="13"/>
  <c r="J4" i="13"/>
  <c r="K4" i="13"/>
  <c r="L4" i="13"/>
  <c r="I5" i="13"/>
  <c r="J5" i="13"/>
  <c r="K5" i="13"/>
  <c r="L5" i="13"/>
  <c r="I6" i="13"/>
  <c r="J6" i="13"/>
  <c r="K6" i="13"/>
  <c r="L6" i="13"/>
  <c r="I7" i="13"/>
  <c r="J7" i="13"/>
  <c r="K7" i="13"/>
  <c r="L7" i="13"/>
  <c r="I8" i="13"/>
  <c r="J8" i="13"/>
  <c r="K8" i="13"/>
  <c r="L8" i="13"/>
  <c r="I9" i="13"/>
  <c r="J9" i="13"/>
  <c r="K9" i="13"/>
  <c r="L9" i="13"/>
  <c r="I10" i="13"/>
  <c r="J10" i="13"/>
  <c r="K10" i="13"/>
  <c r="L10" i="13"/>
  <c r="I11" i="13"/>
  <c r="J11" i="13"/>
  <c r="K11" i="13"/>
  <c r="L11" i="13"/>
  <c r="I12" i="13"/>
  <c r="J12" i="13"/>
  <c r="K12" i="13"/>
  <c r="L12" i="13"/>
  <c r="I13" i="13"/>
  <c r="J13" i="13"/>
  <c r="K13" i="13"/>
  <c r="L13" i="13"/>
  <c r="I14" i="13"/>
  <c r="J14" i="13"/>
  <c r="K14" i="13"/>
  <c r="L14" i="13"/>
  <c r="I15" i="13"/>
  <c r="J15" i="13"/>
  <c r="K15" i="13"/>
  <c r="L15" i="13"/>
  <c r="I16" i="13"/>
  <c r="J16" i="13"/>
  <c r="K16" i="13"/>
  <c r="L16" i="13"/>
  <c r="I17" i="13"/>
  <c r="J17" i="13"/>
  <c r="K17" i="13"/>
  <c r="L17" i="13"/>
  <c r="I18" i="13"/>
  <c r="J18" i="13"/>
  <c r="K18" i="13"/>
  <c r="L18" i="13"/>
  <c r="I19" i="13"/>
  <c r="J19" i="13"/>
  <c r="K19" i="13"/>
  <c r="L19" i="13"/>
  <c r="I20" i="13"/>
  <c r="J20" i="13"/>
  <c r="K20" i="13"/>
  <c r="L20" i="13"/>
  <c r="I21" i="13"/>
  <c r="J21" i="13"/>
  <c r="K21" i="13"/>
  <c r="L21" i="13"/>
  <c r="I22" i="13"/>
  <c r="J22" i="13"/>
  <c r="K22" i="13"/>
  <c r="L22" i="13"/>
  <c r="I23" i="13"/>
  <c r="J23" i="13"/>
  <c r="K23" i="13"/>
  <c r="L23" i="13"/>
  <c r="I24" i="13"/>
  <c r="J24" i="13"/>
  <c r="K24" i="13"/>
  <c r="L24" i="13"/>
  <c r="I25" i="13"/>
  <c r="J25" i="13"/>
  <c r="K25" i="13"/>
  <c r="L25" i="13"/>
  <c r="I26" i="13"/>
  <c r="J26" i="13"/>
  <c r="K26" i="13"/>
  <c r="L26" i="13"/>
  <c r="I27" i="13"/>
  <c r="J27" i="13"/>
  <c r="K27" i="13"/>
  <c r="L27" i="13"/>
  <c r="I28" i="13"/>
  <c r="J28" i="13"/>
  <c r="K28" i="13"/>
  <c r="L28" i="13"/>
  <c r="I29" i="13"/>
  <c r="J29" i="13"/>
  <c r="K29" i="13"/>
  <c r="L29" i="13"/>
  <c r="L2" i="13"/>
  <c r="K2" i="13"/>
  <c r="I2" i="13"/>
  <c r="J2" i="13"/>
  <c r="I38" i="10"/>
  <c r="I37" i="10"/>
  <c r="M35" i="10"/>
  <c r="K34" i="10"/>
  <c r="L34" i="10"/>
  <c r="J34" i="10"/>
  <c r="I33" i="10"/>
  <c r="I3" i="10"/>
  <c r="J3" i="10"/>
  <c r="K3" i="10"/>
  <c r="L3" i="10"/>
  <c r="I4" i="10"/>
  <c r="J4" i="10"/>
  <c r="K4" i="10"/>
  <c r="L4" i="10"/>
  <c r="I5" i="10"/>
  <c r="J5" i="10"/>
  <c r="K5" i="10"/>
  <c r="L5" i="10"/>
  <c r="I6" i="10"/>
  <c r="J6" i="10"/>
  <c r="K6" i="10"/>
  <c r="L6" i="10"/>
  <c r="I7" i="10"/>
  <c r="J7" i="10"/>
  <c r="K7" i="10"/>
  <c r="L7" i="10"/>
  <c r="I8" i="10"/>
  <c r="J8" i="10"/>
  <c r="K8" i="10"/>
  <c r="L8" i="10"/>
  <c r="I9" i="10"/>
  <c r="J9" i="10"/>
  <c r="K9" i="10"/>
  <c r="L9" i="10"/>
  <c r="I10" i="10"/>
  <c r="J10" i="10"/>
  <c r="K10" i="10"/>
  <c r="L10" i="10"/>
  <c r="I11" i="10"/>
  <c r="J11" i="10"/>
  <c r="K11" i="10"/>
  <c r="L11" i="10"/>
  <c r="I12" i="10"/>
  <c r="J12" i="10"/>
  <c r="K12" i="10"/>
  <c r="L12" i="10"/>
  <c r="I13" i="10"/>
  <c r="J13" i="10"/>
  <c r="K13" i="10"/>
  <c r="L13" i="10"/>
  <c r="I14" i="10"/>
  <c r="J14" i="10"/>
  <c r="K14" i="10"/>
  <c r="L14" i="10"/>
  <c r="I15" i="10"/>
  <c r="J15" i="10"/>
  <c r="K15" i="10"/>
  <c r="L15" i="10"/>
  <c r="I16" i="10"/>
  <c r="J16" i="10"/>
  <c r="K16" i="10"/>
  <c r="L16" i="10"/>
  <c r="I17" i="10"/>
  <c r="J17" i="10"/>
  <c r="K17" i="10"/>
  <c r="L17" i="10"/>
  <c r="I18" i="10"/>
  <c r="J18" i="10"/>
  <c r="K18" i="10"/>
  <c r="L18" i="10"/>
  <c r="I19" i="10"/>
  <c r="J19" i="10"/>
  <c r="K19" i="10"/>
  <c r="L19" i="10"/>
  <c r="I20" i="10"/>
  <c r="J20" i="10"/>
  <c r="K20" i="10"/>
  <c r="L20" i="10"/>
  <c r="I21" i="10"/>
  <c r="J21" i="10"/>
  <c r="K21" i="10"/>
  <c r="L21" i="10"/>
  <c r="I22" i="10"/>
  <c r="J22" i="10"/>
  <c r="K22" i="10"/>
  <c r="L22" i="10"/>
  <c r="I23" i="10"/>
  <c r="J23" i="10"/>
  <c r="K23" i="10"/>
  <c r="L23" i="10"/>
  <c r="I24" i="10"/>
  <c r="J24" i="10"/>
  <c r="K24" i="10"/>
  <c r="L24" i="10"/>
  <c r="I25" i="10"/>
  <c r="J25" i="10"/>
  <c r="K25" i="10"/>
  <c r="L25" i="10"/>
  <c r="I26" i="10"/>
  <c r="J26" i="10"/>
  <c r="K26" i="10"/>
  <c r="L26" i="10"/>
  <c r="I27" i="10"/>
  <c r="J27" i="10"/>
  <c r="K27" i="10"/>
  <c r="L27" i="10"/>
  <c r="I28" i="10"/>
  <c r="J28" i="10"/>
  <c r="K28" i="10"/>
  <c r="L28" i="10"/>
  <c r="I29" i="10"/>
  <c r="J29" i="10"/>
  <c r="K29" i="10"/>
  <c r="L29" i="10"/>
  <c r="I30" i="10"/>
  <c r="J30" i="10"/>
  <c r="K30" i="10"/>
  <c r="L30" i="10"/>
  <c r="I31" i="10"/>
  <c r="J31" i="10"/>
  <c r="K31" i="10"/>
  <c r="L31" i="10"/>
  <c r="L2" i="10"/>
  <c r="K2" i="10"/>
  <c r="J2" i="10"/>
  <c r="I2" i="10"/>
  <c r="I43" i="7"/>
  <c r="I42" i="7"/>
  <c r="M40" i="7"/>
  <c r="L39" i="7"/>
  <c r="K39" i="7"/>
  <c r="J39" i="7"/>
  <c r="I38" i="7"/>
  <c r="I3" i="7"/>
  <c r="J3" i="7"/>
  <c r="K3" i="7"/>
  <c r="L3" i="7"/>
  <c r="I4" i="7"/>
  <c r="J4" i="7"/>
  <c r="K4" i="7"/>
  <c r="L4" i="7"/>
  <c r="I5" i="7"/>
  <c r="J5" i="7"/>
  <c r="K5" i="7"/>
  <c r="L5" i="7"/>
  <c r="I6" i="7"/>
  <c r="J6" i="7"/>
  <c r="K6" i="7"/>
  <c r="L6" i="7"/>
  <c r="I7" i="7"/>
  <c r="J7" i="7"/>
  <c r="K7" i="7"/>
  <c r="L7" i="7"/>
  <c r="I8" i="7"/>
  <c r="J8" i="7"/>
  <c r="K8" i="7"/>
  <c r="L8" i="7"/>
  <c r="I9" i="7"/>
  <c r="J9" i="7"/>
  <c r="K9" i="7"/>
  <c r="L9" i="7"/>
  <c r="I10" i="7"/>
  <c r="J10" i="7"/>
  <c r="K10" i="7"/>
  <c r="L10" i="7"/>
  <c r="I11" i="7"/>
  <c r="J11" i="7"/>
  <c r="K11" i="7"/>
  <c r="L11" i="7"/>
  <c r="I12" i="7"/>
  <c r="J12" i="7"/>
  <c r="K12" i="7"/>
  <c r="L12" i="7"/>
  <c r="I13" i="7"/>
  <c r="J13" i="7"/>
  <c r="K13" i="7"/>
  <c r="L13" i="7"/>
  <c r="I14" i="7"/>
  <c r="J14" i="7"/>
  <c r="K14" i="7"/>
  <c r="L14" i="7"/>
  <c r="I15" i="7"/>
  <c r="J15" i="7"/>
  <c r="K15" i="7"/>
  <c r="L15" i="7"/>
  <c r="I16" i="7"/>
  <c r="J16" i="7"/>
  <c r="K16" i="7"/>
  <c r="L16" i="7"/>
  <c r="I17" i="7"/>
  <c r="J17" i="7"/>
  <c r="K17" i="7"/>
  <c r="L17" i="7"/>
  <c r="I18" i="7"/>
  <c r="J18" i="7"/>
  <c r="K18" i="7"/>
  <c r="L18" i="7"/>
  <c r="I19" i="7"/>
  <c r="J19" i="7"/>
  <c r="K19" i="7"/>
  <c r="L19" i="7"/>
  <c r="I20" i="7"/>
  <c r="J20" i="7"/>
  <c r="K20" i="7"/>
  <c r="L20" i="7"/>
  <c r="I21" i="7"/>
  <c r="J21" i="7"/>
  <c r="K21" i="7"/>
  <c r="L21" i="7"/>
  <c r="I22" i="7"/>
  <c r="J22" i="7"/>
  <c r="K22" i="7"/>
  <c r="L22" i="7"/>
  <c r="I23" i="7"/>
  <c r="J23" i="7"/>
  <c r="K23" i="7"/>
  <c r="L23" i="7"/>
  <c r="I24" i="7"/>
  <c r="J24" i="7"/>
  <c r="K24" i="7"/>
  <c r="L24" i="7"/>
  <c r="I25" i="7"/>
  <c r="J25" i="7"/>
  <c r="K25" i="7"/>
  <c r="L25" i="7"/>
  <c r="I26" i="7"/>
  <c r="J26" i="7"/>
  <c r="K26" i="7"/>
  <c r="L26" i="7"/>
  <c r="I27" i="7"/>
  <c r="J27" i="7"/>
  <c r="K27" i="7"/>
  <c r="L27" i="7"/>
  <c r="I28" i="7"/>
  <c r="J28" i="7"/>
  <c r="K28" i="7"/>
  <c r="L28" i="7"/>
  <c r="I29" i="7"/>
  <c r="J29" i="7"/>
  <c r="K29" i="7"/>
  <c r="L29" i="7"/>
  <c r="I30" i="7"/>
  <c r="J30" i="7"/>
  <c r="K30" i="7"/>
  <c r="L30" i="7"/>
  <c r="I31" i="7"/>
  <c r="J31" i="7"/>
  <c r="K31" i="7"/>
  <c r="L31" i="7"/>
  <c r="I32" i="7"/>
  <c r="J32" i="7"/>
  <c r="K32" i="7"/>
  <c r="L32" i="7"/>
  <c r="I33" i="7"/>
  <c r="J33" i="7"/>
  <c r="K33" i="7"/>
  <c r="L33" i="7"/>
  <c r="I34" i="7"/>
  <c r="J34" i="7"/>
  <c r="K34" i="7"/>
  <c r="L34" i="7"/>
  <c r="I35" i="7"/>
  <c r="J35" i="7"/>
  <c r="K35" i="7"/>
  <c r="L35" i="7"/>
  <c r="I36" i="7"/>
  <c r="J36" i="7"/>
  <c r="K36" i="7"/>
  <c r="L36" i="7"/>
  <c r="L2" i="7"/>
  <c r="K2" i="7"/>
  <c r="J2" i="7"/>
  <c r="I2" i="7"/>
  <c r="I42" i="4"/>
  <c r="I43" i="4"/>
  <c r="M40" i="4"/>
  <c r="K39" i="4"/>
  <c r="L39" i="4"/>
  <c r="J39" i="4"/>
  <c r="I38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L2" i="4"/>
  <c r="K2" i="4"/>
  <c r="J2" i="4"/>
  <c r="J2" i="1"/>
  <c r="J38" i="1" s="1"/>
  <c r="I2" i="4"/>
  <c r="I2" i="1"/>
  <c r="I42" i="1"/>
  <c r="I41" i="1"/>
  <c r="M39" i="1"/>
  <c r="K38" i="1"/>
  <c r="L3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3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M29" i="1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7227F-35B1-4BEA-BBC8-C79ABEDDAFA3}" keepAlive="1" name="Query - Q1_eng" description="Connection to the 'Q1_eng' query in the workbook." type="5" refreshedVersion="0" background="1">
    <dbPr connection="Provider=Microsoft.Mashup.OleDb.1;Data Source=$Workbook$;Location=Q1_eng;Extended Properties=&quot;&quot;" command="SELECT * FROM [Q1_eng]"/>
  </connection>
  <connection id="2" xr16:uid="{B3B58F26-4818-4628-8643-E149FB1BD4B2}" keepAlive="1" name="Query - Q1_ita" description="Connection to the 'Q1_ita' query in the workbook." type="5" refreshedVersion="0" background="1">
    <dbPr connection="Provider=Microsoft.Mashup.OleDb.1;Data Source=$Workbook$;Location=Q1_ita;Extended Properties=&quot;&quot;" command="SELECT * FROM [Q1_ita]"/>
  </connection>
  <connection id="3" xr16:uid="{206D66FD-67A5-4B8A-B987-5FFC7F33598B}" keepAlive="1" name="Query - Q2_eng" description="Connection to the 'Q2_eng' query in the workbook." type="5" refreshedVersion="0" background="1">
    <dbPr connection="Provider=Microsoft.Mashup.OleDb.1;Data Source=$Workbook$;Location=Q2_eng;Extended Properties=&quot;&quot;" command="SELECT * FROM [Q2_eng]"/>
  </connection>
  <connection id="4" xr16:uid="{BA9C9516-731F-4B4D-9124-2014155003D1}" keepAlive="1" name="Query - Q2_ita" description="Connection to the 'Q2_ita' query in the workbook." type="5" refreshedVersion="0" background="1">
    <dbPr connection="Provider=Microsoft.Mashup.OleDb.1;Data Source=$Workbook$;Location=Q2_ita;Extended Properties=&quot;&quot;" command="SELECT * FROM [Q2_ita]"/>
  </connection>
  <connection id="5" xr16:uid="{4351523D-1579-4ACA-9F8B-E7AEA3424198}" keepAlive="1" name="Query - Q3_eng" description="Connection to the 'Q3_eng' query in the workbook." type="5" refreshedVersion="0" background="1">
    <dbPr connection="Provider=Microsoft.Mashup.OleDb.1;Data Source=$Workbook$;Location=Q3_eng;Extended Properties=&quot;&quot;" command="SELECT * FROM [Q3_eng]"/>
  </connection>
  <connection id="6" xr16:uid="{EAE1FA59-BB12-420F-A54E-DBCE990A8C7C}" keepAlive="1" name="Query - Q3_ita" description="Connection to the 'Q3_ita' query in the workbook." type="5" refreshedVersion="0" background="1">
    <dbPr connection="Provider=Microsoft.Mashup.OleDb.1;Data Source=$Workbook$;Location=Q3_ita;Extended Properties=&quot;&quot;" command="SELECT * FROM [Q3_ita]"/>
  </connection>
  <connection id="7" xr16:uid="{9C15AB08-BDB4-4C4A-9AD2-365DCFA6889C}" keepAlive="1" name="Query - Q4_eng" description="Connection to the 'Q4_eng' query in the workbook." type="5" refreshedVersion="0" background="1">
    <dbPr connection="Provider=Microsoft.Mashup.OleDb.1;Data Source=$Workbook$;Location=Q4_eng;Extended Properties=&quot;&quot;" command="SELECT * FROM [Q4_eng]"/>
  </connection>
  <connection id="8" xr16:uid="{A0F17DA8-9F89-4706-B270-42D90038719F}" keepAlive="1" name="Query - Q4_ita" description="Connection to the 'Q4_ita' query in the workbook." type="5" refreshedVersion="0" background="1">
    <dbPr connection="Provider=Microsoft.Mashup.OleDb.1;Data Source=$Workbook$;Location=Q4_ita;Extended Properties=&quot;&quot;" command="SELECT * FROM [Q4_ita]"/>
  </connection>
  <connection id="9" xr16:uid="{832928A9-38A3-4AEF-8B89-9E0C302C520F}" keepAlive="1" name="Query - Q5_eng" description="Connection to the 'Q5_eng' query in the workbook." type="5" refreshedVersion="0" background="1">
    <dbPr connection="Provider=Microsoft.Mashup.OleDb.1;Data Source=$Workbook$;Location=Q5_eng;Extended Properties=&quot;&quot;" command="SELECT * FROM [Q5_eng]"/>
  </connection>
  <connection id="10" xr16:uid="{8B4EB658-1847-4E31-B151-B93AFC864542}" keepAlive="1" name="Query - Q5_ita" description="Connection to the 'Q5_ita' query in the workbook." type="5" refreshedVersion="0" background="1">
    <dbPr connection="Provider=Microsoft.Mashup.OleDb.1;Data Source=$Workbook$;Location=Q5_ita;Extended Properties=&quot;&quot;" command="SELECT * FROM [Q5_ita]"/>
  </connection>
  <connection id="11" xr16:uid="{DBB1006E-6D15-4786-9D52-F198493C75A3}" keepAlive="1" name="Query - Q6_eng" description="Connection to the 'Q6_eng' query in the workbook." type="5" refreshedVersion="0" background="1">
    <dbPr connection="Provider=Microsoft.Mashup.OleDb.1;Data Source=$Workbook$;Location=Q6_eng;Extended Properties=&quot;&quot;" command="SELECT * FROM [Q6_eng]"/>
  </connection>
  <connection id="12" xr16:uid="{72FDFC3A-B504-4BCA-B08D-ED64D61E6A27}" keepAlive="1" name="Query - Q6_ita" description="Connection to the 'Q6_ita' query in the workbook." type="5" refreshedVersion="0" background="1">
    <dbPr connection="Provider=Microsoft.Mashup.OleDb.1;Data Source=$Workbook$;Location=Q6_ita;Extended Properties=&quot;&quot;" command="SELECT * FROM [Q6_ita]"/>
  </connection>
  <connection id="13" xr16:uid="{B5689DF9-19A7-4967-B373-525C94156040}" keepAlive="1" name="Query - Q7_eng" description="Connection to the 'Q7_eng' query in the workbook." type="5" refreshedVersion="0" background="1">
    <dbPr connection="Provider=Microsoft.Mashup.OleDb.1;Data Source=$Workbook$;Location=Q7_eng;Extended Properties=&quot;&quot;" command="SELECT * FROM [Q7_eng]"/>
  </connection>
  <connection id="14" xr16:uid="{D01C00F9-1DD9-45FB-986A-5A28F4684AD3}" keepAlive="1" name="Query - Q7_ita" description="Connection to the 'Q7_ita' query in the workbook." type="5" refreshedVersion="0" background="1">
    <dbPr connection="Provider=Microsoft.Mashup.OleDb.1;Data Source=$Workbook$;Location=Q7_ita;Extended Properties=&quot;&quot;" command="SELECT * FROM [Q7_ita]"/>
  </connection>
</connections>
</file>

<file path=xl/sharedStrings.xml><?xml version="1.0" encoding="utf-8"?>
<sst xmlns="http://schemas.openxmlformats.org/spreadsheetml/2006/main" count="6171" uniqueCount="77">
  <si>
    <t>18-24</t>
  </si>
  <si>
    <t>Male</t>
  </si>
  <si>
    <t>Fear</t>
  </si>
  <si>
    <t>Level 1 : Interest</t>
  </si>
  <si>
    <t>Level 3 : Vigilance</t>
  </si>
  <si>
    <t>Anger</t>
  </si>
  <si>
    <t>Level 2 : Anticipation</t>
  </si>
  <si>
    <t>55-64</t>
  </si>
  <si>
    <t>Female</t>
  </si>
  <si>
    <t>25-34</t>
  </si>
  <si>
    <t>35-44</t>
  </si>
  <si>
    <t>None of the above</t>
  </si>
  <si>
    <t>Age</t>
  </si>
  <si>
    <t>Gender</t>
  </si>
  <si>
    <t>Familiarity with robots</t>
  </si>
  <si>
    <t>Emotion</t>
  </si>
  <si>
    <t>Coherence</t>
  </si>
  <si>
    <t>Video 1</t>
  </si>
  <si>
    <t>Video 2</t>
  </si>
  <si>
    <t>Video 3</t>
  </si>
  <si>
    <t>Control Column</t>
  </si>
  <si>
    <t>Emotion accuracy:</t>
  </si>
  <si>
    <t>VIDEO 1</t>
  </si>
  <si>
    <t>Videos accuracy:</t>
  </si>
  <si>
    <t>VIDEO 2</t>
  </si>
  <si>
    <t>VIDEO 3</t>
  </si>
  <si>
    <t>Total video accuracy</t>
  </si>
  <si>
    <t>Coherence mean</t>
  </si>
  <si>
    <t>Coherence std.dev.</t>
  </si>
  <si>
    <t>Anticipation</t>
  </si>
  <si>
    <t>Level 2 : Disgust</t>
  </si>
  <si>
    <t>Level 3 : Loathing</t>
  </si>
  <si>
    <t>Level 1 : Boredom</t>
  </si>
  <si>
    <t>Surprise</t>
  </si>
  <si>
    <t>Joy</t>
  </si>
  <si>
    <t>65+</t>
  </si>
  <si>
    <t>None of the options</t>
  </si>
  <si>
    <t>Level 1 : Apprehension</t>
  </si>
  <si>
    <t>Level 2 : Fear</t>
  </si>
  <si>
    <t>Disgust</t>
  </si>
  <si>
    <t>Level 3 : Terror</t>
  </si>
  <si>
    <t>Level 2 : Joy</t>
  </si>
  <si>
    <t>Level 1 : Serenity</t>
  </si>
  <si>
    <t>Level 3 : Ecstasy</t>
  </si>
  <si>
    <t>Level 3 : Grief</t>
  </si>
  <si>
    <t>Level 1 : Pensiveness</t>
  </si>
  <si>
    <t>Level 2 : Sadness</t>
  </si>
  <si>
    <t>Sadness</t>
  </si>
  <si>
    <t>Level 2 : Surprise</t>
  </si>
  <si>
    <t>Level 1 : Distraction</t>
  </si>
  <si>
    <t>Level 3 : Amazement</t>
  </si>
  <si>
    <t>I'd rather not say</t>
  </si>
  <si>
    <t>Level 1 : Annoyance</t>
  </si>
  <si>
    <t>Level 3 : Rage</t>
  </si>
  <si>
    <t>Level 2 : Anger</t>
  </si>
  <si>
    <t>45-54</t>
  </si>
  <si>
    <t>Shown</t>
  </si>
  <si>
    <t>perceived:</t>
  </si>
  <si>
    <t>Shown:</t>
  </si>
  <si>
    <t>Level 1</t>
  </si>
  <si>
    <t>Level 3</t>
  </si>
  <si>
    <t>Level 2</t>
  </si>
  <si>
    <t>Level  2</t>
  </si>
  <si>
    <t>L1</t>
  </si>
  <si>
    <t>L2</t>
  </si>
  <si>
    <t>L3</t>
  </si>
  <si>
    <t>shown/perceived</t>
  </si>
  <si>
    <t>Perceived</t>
  </si>
  <si>
    <t>Shown/Perceived</t>
  </si>
  <si>
    <t xml:space="preserve">Disgust </t>
  </si>
  <si>
    <t xml:space="preserve">Sadness </t>
  </si>
  <si>
    <t>N</t>
  </si>
  <si>
    <t>%</t>
  </si>
  <si>
    <t>familiarity with robots</t>
  </si>
  <si>
    <t>MEAN</t>
  </si>
  <si>
    <t>STD DEV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</si>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</sst>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'TOTAL (4)'!$G$3:$G$5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Unknown</c:v>
                </c:pt>
              </c:strCache>
            </c:strRef>
          </c:cat>
          <c:val>
            <c:numRef>
              <c:f>'TOTAL (4)'!$H$3:$H$5</c:f>
              <c:numCache>
                <c:formatCode>General</c:formatCode>
                <c:ptCount val="3"/>
                <c:pt idx="0">
                  <c:v>121</c:v>
                </c:pt>
                <c:pt idx="1">
                  <c:v>99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8-4A78-AA28-B123B0651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'TOTAL (4)'!$G$7:$G$12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'TOTAL (4)'!$H$7:$H$12</c:f>
              <c:numCache>
                <c:formatCode>General</c:formatCode>
                <c:ptCount val="6"/>
                <c:pt idx="0">
                  <c:v>68</c:v>
                </c:pt>
                <c:pt idx="1">
                  <c:v>80</c:v>
                </c:pt>
                <c:pt idx="2">
                  <c:v>6</c:v>
                </c:pt>
                <c:pt idx="3">
                  <c:v>1</c:v>
                </c:pt>
                <c:pt idx="4">
                  <c:v>54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0-41CF-A7CF-BD7544F3E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(4)'!$C$1</c:f>
              <c:strCache>
                <c:ptCount val="1"/>
                <c:pt idx="0">
                  <c:v>Familiarity with robots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'TOTAL (4)'!$C$2:$C$222</c:f>
              <c:numCache>
                <c:formatCode>General</c:formatCode>
                <c:ptCount val="221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5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4</c:v>
                </c:pt>
                <c:pt idx="36">
                  <c:v>4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5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5</c:v>
                </c:pt>
                <c:pt idx="52">
                  <c:v>4</c:v>
                </c:pt>
                <c:pt idx="53">
                  <c:v>2</c:v>
                </c:pt>
                <c:pt idx="54">
                  <c:v>5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2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3</c:v>
                </c:pt>
                <c:pt idx="76">
                  <c:v>4</c:v>
                </c:pt>
                <c:pt idx="77">
                  <c:v>3</c:v>
                </c:pt>
                <c:pt idx="78">
                  <c:v>2</c:v>
                </c:pt>
                <c:pt idx="79">
                  <c:v>1</c:v>
                </c:pt>
                <c:pt idx="80">
                  <c:v>4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5</c:v>
                </c:pt>
                <c:pt idx="86">
                  <c:v>1</c:v>
                </c:pt>
                <c:pt idx="87">
                  <c:v>4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1</c:v>
                </c:pt>
                <c:pt idx="92">
                  <c:v>3</c:v>
                </c:pt>
                <c:pt idx="93">
                  <c:v>4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4</c:v>
                </c:pt>
                <c:pt idx="105">
                  <c:v>1</c:v>
                </c:pt>
                <c:pt idx="106">
                  <c:v>5</c:v>
                </c:pt>
                <c:pt idx="107">
                  <c:v>4</c:v>
                </c:pt>
                <c:pt idx="108">
                  <c:v>2</c:v>
                </c:pt>
                <c:pt idx="109">
                  <c:v>4</c:v>
                </c:pt>
                <c:pt idx="110">
                  <c:v>4</c:v>
                </c:pt>
                <c:pt idx="111">
                  <c:v>3</c:v>
                </c:pt>
                <c:pt idx="112">
                  <c:v>3</c:v>
                </c:pt>
                <c:pt idx="113">
                  <c:v>2</c:v>
                </c:pt>
                <c:pt idx="114">
                  <c:v>3</c:v>
                </c:pt>
                <c:pt idx="115">
                  <c:v>3</c:v>
                </c:pt>
                <c:pt idx="116">
                  <c:v>4</c:v>
                </c:pt>
                <c:pt idx="117">
                  <c:v>2</c:v>
                </c:pt>
                <c:pt idx="118">
                  <c:v>3</c:v>
                </c:pt>
                <c:pt idx="119">
                  <c:v>5</c:v>
                </c:pt>
                <c:pt idx="120">
                  <c:v>3</c:v>
                </c:pt>
                <c:pt idx="121">
                  <c:v>5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3</c:v>
                </c:pt>
                <c:pt idx="131">
                  <c:v>2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4</c:v>
                </c:pt>
                <c:pt idx="136">
                  <c:v>3</c:v>
                </c:pt>
                <c:pt idx="137">
                  <c:v>2</c:v>
                </c:pt>
                <c:pt idx="138">
                  <c:v>3</c:v>
                </c:pt>
                <c:pt idx="139">
                  <c:v>2</c:v>
                </c:pt>
                <c:pt idx="140">
                  <c:v>3</c:v>
                </c:pt>
                <c:pt idx="141">
                  <c:v>4</c:v>
                </c:pt>
                <c:pt idx="142">
                  <c:v>4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3</c:v>
                </c:pt>
                <c:pt idx="147">
                  <c:v>3</c:v>
                </c:pt>
                <c:pt idx="148">
                  <c:v>5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3</c:v>
                </c:pt>
                <c:pt idx="158">
                  <c:v>3</c:v>
                </c:pt>
                <c:pt idx="159">
                  <c:v>1</c:v>
                </c:pt>
                <c:pt idx="160">
                  <c:v>2</c:v>
                </c:pt>
                <c:pt idx="161">
                  <c:v>4</c:v>
                </c:pt>
                <c:pt idx="162">
                  <c:v>2</c:v>
                </c:pt>
                <c:pt idx="163">
                  <c:v>4</c:v>
                </c:pt>
                <c:pt idx="164">
                  <c:v>3</c:v>
                </c:pt>
                <c:pt idx="165">
                  <c:v>3</c:v>
                </c:pt>
                <c:pt idx="166">
                  <c:v>2</c:v>
                </c:pt>
                <c:pt idx="167">
                  <c:v>4</c:v>
                </c:pt>
                <c:pt idx="168">
                  <c:v>2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3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3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4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4</c:v>
                </c:pt>
                <c:pt idx="192">
                  <c:v>1</c:v>
                </c:pt>
                <c:pt idx="193">
                  <c:v>3</c:v>
                </c:pt>
                <c:pt idx="194">
                  <c:v>3</c:v>
                </c:pt>
                <c:pt idx="195">
                  <c:v>2</c:v>
                </c:pt>
                <c:pt idx="196">
                  <c:v>1</c:v>
                </c:pt>
                <c:pt idx="197">
                  <c:v>4</c:v>
                </c:pt>
                <c:pt idx="198">
                  <c:v>3</c:v>
                </c:pt>
                <c:pt idx="199">
                  <c:v>5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5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2</c:v>
                </c:pt>
                <c:pt idx="209">
                  <c:v>3</c:v>
                </c:pt>
                <c:pt idx="210">
                  <c:v>1</c:v>
                </c:pt>
                <c:pt idx="211">
                  <c:v>1</c:v>
                </c:pt>
                <c:pt idx="212">
                  <c:v>3</c:v>
                </c:pt>
                <c:pt idx="213">
                  <c:v>3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1</c:v>
                </c:pt>
                <c:pt idx="2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6-4DF1-B59B-4B82650A1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899552"/>
        <c:axId val="1021900512"/>
      </c:barChart>
      <c:catAx>
        <c:axId val="102189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1900512"/>
        <c:crosses val="autoZero"/>
        <c:auto val="1"/>
        <c:lblAlgn val="ctr"/>
        <c:lblOffset val="100"/>
        <c:noMultiLvlLbl val="0"/>
      </c:catAx>
      <c:valAx>
        <c:axId val="102190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189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Familiarity</a:t>
            </a:r>
            <a:r>
              <a:rPr lang="it-IT" baseline="0"/>
              <a:t> with Robots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familiarity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'TOTAL (4)'!$H$21:$H$26</c:f>
              <c:numCache>
                <c:formatCode>General</c:formatCode>
                <c:ptCount val="6"/>
                <c:pt idx="1">
                  <c:v>67</c:v>
                </c:pt>
                <c:pt idx="2">
                  <c:v>53</c:v>
                </c:pt>
                <c:pt idx="3">
                  <c:v>55</c:v>
                </c:pt>
                <c:pt idx="4">
                  <c:v>31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38-4D9D-984E-C300EF178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510768"/>
        <c:axId val="9995146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'TOTAL (4)'!$G$21:$G$26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038-4D9D-984E-C300EF178497}"/>
                  </c:ext>
                </c:extLst>
              </c15:ser>
            </c15:filteredBarSeries>
          </c:ext>
        </c:extLst>
      </c:barChart>
      <c:catAx>
        <c:axId val="99951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9514608"/>
        <c:crosses val="autoZero"/>
        <c:auto val="1"/>
        <c:lblAlgn val="ctr"/>
        <c:lblOffset val="100"/>
        <c:noMultiLvlLbl val="0"/>
      </c:catAx>
      <c:valAx>
        <c:axId val="99951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951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536716</xdr:colOff>
      <xdr:row>2</xdr:row>
      <xdr:rowOff>5351</xdr:rowOff>
    </xdr:from>
    <xdr:to>
      <xdr:col>13</xdr:col>
      <xdr:colOff>583272</xdr:colOff>
      <xdr:row>10</xdr:row>
      <xdr:rowOff>55223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A6C4AA-A3C6-4E14-D41F-27BCE7B95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531366</xdr:colOff>
      <xdr:row>10</xdr:row>
      <xdr:rowOff>180225</xdr:rowOff>
    </xdr:from>
    <xdr:to>
      <xdr:col>13</xdr:col>
      <xdr:colOff>588623</xdr:colOff>
      <xdr:row>21</xdr:row>
      <xdr:rowOff>26756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9064E5-4D4E-5ED6-C214-37B9C8FD9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424343</xdr:colOff>
      <xdr:row>200</xdr:row>
      <xdr:rowOff>180226</xdr:rowOff>
    </xdr:from>
    <xdr:to>
      <xdr:col>10</xdr:col>
      <xdr:colOff>142874</xdr:colOff>
      <xdr:row>216</xdr:row>
      <xdr:rowOff>12414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0345BF-0FCA-5C02-37FA-3CEF6ACC6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526015</xdr:colOff>
      <xdr:row>21</xdr:row>
      <xdr:rowOff>149832</xdr:rowOff>
    </xdr:from>
    <xdr:to>
      <xdr:col>13</xdr:col>
      <xdr:colOff>577922</xdr:colOff>
      <xdr:row>31</xdr:row>
      <xdr:rowOff>5351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FCCEE4-E581-6812-A18B-4D1AD90CF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2B41-57F6-4C33-B57A-31BFC07D03E6}">
  <dimension ref="A1:R237"/>
  <sheetViews>
    <sheetView zoomScale="89" zoomScaleNormal="89" workbookViewId="0">
      <selection activeCell="H29" sqref="H29"/>
    </sheetView>
  </sheetViews>
  <sheetFormatPr defaultRowHeight="14.25" x14ac:dyDescent="0.45"/>
  <cols>
    <col min="6" max="7" width="18.19921875" bestFit="1" customWidth="1"/>
    <col min="9" max="9" width="11.73046875" bestFit="1" customWidth="1"/>
    <col min="10" max="10" width="10.73046875" bestFit="1" customWidth="1"/>
    <col min="11" max="11" width="11.73046875" bestFit="1" customWidth="1"/>
  </cols>
  <sheetData>
    <row r="1" spans="1:9" x14ac:dyDescent="0.45">
      <c r="A1" t="s">
        <v>12</v>
      </c>
      <c r="B1" t="s">
        <v>13</v>
      </c>
      <c r="C1" t="s">
        <v>14</v>
      </c>
      <c r="H1" t="s">
        <v>71</v>
      </c>
      <c r="I1" t="s">
        <v>72</v>
      </c>
    </row>
    <row r="2" spans="1:9" x14ac:dyDescent="0.45">
      <c r="A2" t="s">
        <v>0</v>
      </c>
      <c r="B2" t="s">
        <v>1</v>
      </c>
      <c r="C2">
        <v>1</v>
      </c>
    </row>
    <row r="3" spans="1:9" x14ac:dyDescent="0.45">
      <c r="A3" t="s">
        <v>0</v>
      </c>
      <c r="B3" t="s">
        <v>1</v>
      </c>
      <c r="C3">
        <v>3</v>
      </c>
      <c r="G3" t="s">
        <v>1</v>
      </c>
      <c r="H3">
        <f>COUNTIF($B$2:$B$222,"Male")</f>
        <v>121</v>
      </c>
      <c r="I3" s="3">
        <f>H3/221*100</f>
        <v>54.751131221719461</v>
      </c>
    </row>
    <row r="4" spans="1:9" x14ac:dyDescent="0.45">
      <c r="A4" t="s">
        <v>0</v>
      </c>
      <c r="B4" t="s">
        <v>1</v>
      </c>
      <c r="C4">
        <v>2</v>
      </c>
      <c r="G4" t="s">
        <v>8</v>
      </c>
      <c r="H4">
        <f>COUNTIF(B2:B222,"Female")</f>
        <v>99</v>
      </c>
      <c r="I4" s="3">
        <f t="shared" ref="I4:I5" si="0">H4/221*100</f>
        <v>44.796380090497742</v>
      </c>
    </row>
    <row r="5" spans="1:9" x14ac:dyDescent="0.45">
      <c r="A5" t="s">
        <v>0</v>
      </c>
      <c r="B5" t="s">
        <v>1</v>
      </c>
      <c r="C5">
        <v>2</v>
      </c>
      <c r="G5" t="s">
        <v>76</v>
      </c>
      <c r="H5">
        <f>COUNTIF(B2:B222,"I'd rather not say")</f>
        <v>1</v>
      </c>
      <c r="I5" s="3">
        <f t="shared" si="0"/>
        <v>0.45248868778280549</v>
      </c>
    </row>
    <row r="6" spans="1:9" x14ac:dyDescent="0.45">
      <c r="A6" t="s">
        <v>7</v>
      </c>
      <c r="B6" t="s">
        <v>8</v>
      </c>
      <c r="C6">
        <v>4</v>
      </c>
    </row>
    <row r="7" spans="1:9" x14ac:dyDescent="0.45">
      <c r="A7" t="s">
        <v>0</v>
      </c>
      <c r="B7" t="s">
        <v>1</v>
      </c>
      <c r="C7">
        <v>3</v>
      </c>
      <c r="G7" t="s">
        <v>0</v>
      </c>
      <c r="H7">
        <f>COUNTIF($A$2:$A$222,"18-24")</f>
        <v>68</v>
      </c>
      <c r="I7" s="3">
        <f>H7/221*100</f>
        <v>30.76923076923077</v>
      </c>
    </row>
    <row r="8" spans="1:9" x14ac:dyDescent="0.45">
      <c r="A8" t="s">
        <v>7</v>
      </c>
      <c r="B8" t="s">
        <v>1</v>
      </c>
      <c r="C8">
        <v>3</v>
      </c>
      <c r="G8" t="s">
        <v>9</v>
      </c>
      <c r="H8">
        <f>COUNTIF($A$2:$A$222,"25-34")</f>
        <v>80</v>
      </c>
      <c r="I8" s="3">
        <f t="shared" ref="I8:I12" si="1">H8/221*100</f>
        <v>36.199095022624434</v>
      </c>
    </row>
    <row r="9" spans="1:9" x14ac:dyDescent="0.45">
      <c r="A9" t="s">
        <v>0</v>
      </c>
      <c r="B9" t="s">
        <v>1</v>
      </c>
      <c r="C9">
        <v>2</v>
      </c>
      <c r="G9" t="s">
        <v>10</v>
      </c>
      <c r="H9">
        <f>COUNTIF($A$2:$A$222,"35-44")</f>
        <v>6</v>
      </c>
      <c r="I9" s="3">
        <f t="shared" si="1"/>
        <v>2.7149321266968327</v>
      </c>
    </row>
    <row r="10" spans="1:9" x14ac:dyDescent="0.45">
      <c r="A10" t="s">
        <v>9</v>
      </c>
      <c r="B10" t="s">
        <v>1</v>
      </c>
      <c r="C10">
        <v>3</v>
      </c>
      <c r="G10" t="s">
        <v>55</v>
      </c>
      <c r="H10">
        <f>COUNTIF($A$2:$A$222,"45-54")</f>
        <v>1</v>
      </c>
      <c r="I10" s="3">
        <f t="shared" si="1"/>
        <v>0.45248868778280549</v>
      </c>
    </row>
    <row r="11" spans="1:9" x14ac:dyDescent="0.45">
      <c r="A11" t="s">
        <v>0</v>
      </c>
      <c r="B11" t="s">
        <v>1</v>
      </c>
      <c r="C11">
        <v>4</v>
      </c>
      <c r="G11" t="s">
        <v>7</v>
      </c>
      <c r="H11">
        <f>COUNTIF($A$2:$A$222,"55-64")</f>
        <v>54</v>
      </c>
      <c r="I11" s="3">
        <f t="shared" si="1"/>
        <v>24.434389140271492</v>
      </c>
    </row>
    <row r="12" spans="1:9" x14ac:dyDescent="0.45">
      <c r="A12" t="s">
        <v>0</v>
      </c>
      <c r="B12" t="s">
        <v>8</v>
      </c>
      <c r="C12">
        <v>4</v>
      </c>
      <c r="G12" t="s">
        <v>35</v>
      </c>
      <c r="H12">
        <f>COUNTIF($A$2:$A$222,"65+")</f>
        <v>12</v>
      </c>
      <c r="I12" s="3">
        <f t="shared" si="1"/>
        <v>5.4298642533936654</v>
      </c>
    </row>
    <row r="13" spans="1:9" x14ac:dyDescent="0.45">
      <c r="A13" t="s">
        <v>10</v>
      </c>
      <c r="B13" t="s">
        <v>1</v>
      </c>
      <c r="C13">
        <v>5</v>
      </c>
    </row>
    <row r="14" spans="1:9" x14ac:dyDescent="0.45">
      <c r="A14" t="s">
        <v>0</v>
      </c>
      <c r="B14" t="s">
        <v>8</v>
      </c>
      <c r="C14">
        <v>4</v>
      </c>
    </row>
    <row r="15" spans="1:9" x14ac:dyDescent="0.45">
      <c r="A15" t="s">
        <v>9</v>
      </c>
      <c r="B15" t="s">
        <v>8</v>
      </c>
      <c r="C15">
        <v>1</v>
      </c>
      <c r="H15" t="s">
        <v>74</v>
      </c>
      <c r="I15" t="s">
        <v>75</v>
      </c>
    </row>
    <row r="16" spans="1:9" x14ac:dyDescent="0.45">
      <c r="A16" t="s">
        <v>9</v>
      </c>
      <c r="B16" t="s">
        <v>8</v>
      </c>
      <c r="C16">
        <v>2</v>
      </c>
      <c r="G16" t="s">
        <v>73</v>
      </c>
      <c r="H16" s="3">
        <f>AVERAGE(C2:C222)</f>
        <v>2.429864253393665</v>
      </c>
      <c r="I16" s="3">
        <f>_xlfn.STDEV.P(C2:C222)</f>
        <v>1.2406444390343252</v>
      </c>
    </row>
    <row r="17" spans="1:8" x14ac:dyDescent="0.45">
      <c r="A17" t="s">
        <v>0</v>
      </c>
      <c r="B17" t="s">
        <v>8</v>
      </c>
      <c r="C17">
        <v>1</v>
      </c>
    </row>
    <row r="18" spans="1:8" x14ac:dyDescent="0.45">
      <c r="A18" t="s">
        <v>0</v>
      </c>
      <c r="B18" t="s">
        <v>1</v>
      </c>
      <c r="C18">
        <v>1</v>
      </c>
    </row>
    <row r="19" spans="1:8" x14ac:dyDescent="0.45">
      <c r="A19" t="s">
        <v>9</v>
      </c>
      <c r="B19" t="s">
        <v>1</v>
      </c>
      <c r="C19">
        <v>5</v>
      </c>
    </row>
    <row r="20" spans="1:8" x14ac:dyDescent="0.45">
      <c r="A20" t="s">
        <v>0</v>
      </c>
      <c r="B20" t="s">
        <v>1</v>
      </c>
      <c r="C20">
        <v>3</v>
      </c>
    </row>
    <row r="21" spans="1:8" x14ac:dyDescent="0.45">
      <c r="A21" t="s">
        <v>7</v>
      </c>
      <c r="B21" t="s">
        <v>8</v>
      </c>
      <c r="C21">
        <v>1</v>
      </c>
      <c r="G21" t="s">
        <v>73</v>
      </c>
    </row>
    <row r="22" spans="1:8" x14ac:dyDescent="0.45">
      <c r="A22" t="s">
        <v>7</v>
      </c>
      <c r="B22" t="s">
        <v>8</v>
      </c>
      <c r="C22">
        <v>1</v>
      </c>
      <c r="G22">
        <v>1</v>
      </c>
      <c r="H22">
        <f>COUNTIF($C$2:$C$222,"1")</f>
        <v>67</v>
      </c>
    </row>
    <row r="23" spans="1:8" x14ac:dyDescent="0.45">
      <c r="A23" t="s">
        <v>7</v>
      </c>
      <c r="B23" t="s">
        <v>8</v>
      </c>
      <c r="C23">
        <v>1</v>
      </c>
      <c r="G23">
        <v>2</v>
      </c>
      <c r="H23">
        <f>COUNTIF($C$2:$C$222,"2")</f>
        <v>53</v>
      </c>
    </row>
    <row r="24" spans="1:8" x14ac:dyDescent="0.45">
      <c r="A24" t="s">
        <v>7</v>
      </c>
      <c r="B24" t="s">
        <v>8</v>
      </c>
      <c r="C24">
        <v>1</v>
      </c>
      <c r="G24">
        <v>3</v>
      </c>
      <c r="H24">
        <f>COUNTIF($C$2:$C$222,"3")</f>
        <v>55</v>
      </c>
    </row>
    <row r="25" spans="1:8" x14ac:dyDescent="0.45">
      <c r="A25" t="s">
        <v>7</v>
      </c>
      <c r="B25" t="s">
        <v>1</v>
      </c>
      <c r="C25">
        <v>1</v>
      </c>
      <c r="G25">
        <v>4</v>
      </c>
      <c r="H25">
        <f>COUNTIF($C$2:$C$222,"4")</f>
        <v>31</v>
      </c>
    </row>
    <row r="26" spans="1:8" x14ac:dyDescent="0.45">
      <c r="A26" t="s">
        <v>9</v>
      </c>
      <c r="B26" t="s">
        <v>8</v>
      </c>
      <c r="C26">
        <v>2</v>
      </c>
      <c r="G26">
        <v>5</v>
      </c>
      <c r="H26">
        <f>COUNTIF($C$2:$C$222,"5")</f>
        <v>15</v>
      </c>
    </row>
    <row r="27" spans="1:8" x14ac:dyDescent="0.45">
      <c r="A27" t="s">
        <v>0</v>
      </c>
      <c r="B27" t="s">
        <v>8</v>
      </c>
      <c r="C27">
        <v>1</v>
      </c>
    </row>
    <row r="28" spans="1:8" x14ac:dyDescent="0.45">
      <c r="A28" t="s">
        <v>0</v>
      </c>
      <c r="B28" t="s">
        <v>8</v>
      </c>
      <c r="C28">
        <v>1</v>
      </c>
    </row>
    <row r="29" spans="1:8" x14ac:dyDescent="0.45">
      <c r="A29" t="s">
        <v>7</v>
      </c>
      <c r="B29" t="s">
        <v>8</v>
      </c>
      <c r="C29">
        <v>1</v>
      </c>
    </row>
    <row r="30" spans="1:8" x14ac:dyDescent="0.45">
      <c r="A30" t="s">
        <v>7</v>
      </c>
      <c r="B30" t="s">
        <v>1</v>
      </c>
      <c r="C30">
        <v>2</v>
      </c>
    </row>
    <row r="31" spans="1:8" x14ac:dyDescent="0.45">
      <c r="A31" t="s">
        <v>9</v>
      </c>
      <c r="B31" t="s">
        <v>1</v>
      </c>
      <c r="C31">
        <v>1</v>
      </c>
    </row>
    <row r="32" spans="1:8" x14ac:dyDescent="0.45">
      <c r="A32" t="s">
        <v>9</v>
      </c>
      <c r="B32" t="s">
        <v>1</v>
      </c>
      <c r="C32">
        <v>3</v>
      </c>
    </row>
    <row r="33" spans="1:3" x14ac:dyDescent="0.45">
      <c r="A33" t="s">
        <v>10</v>
      </c>
      <c r="B33" t="s">
        <v>1</v>
      </c>
      <c r="C33">
        <v>3</v>
      </c>
    </row>
    <row r="34" spans="1:3" x14ac:dyDescent="0.45">
      <c r="A34" t="s">
        <v>9</v>
      </c>
      <c r="B34" t="s">
        <v>8</v>
      </c>
      <c r="C34">
        <v>3</v>
      </c>
    </row>
    <row r="35" spans="1:3" x14ac:dyDescent="0.45">
      <c r="A35" t="s">
        <v>9</v>
      </c>
      <c r="B35" t="s">
        <v>1</v>
      </c>
      <c r="C35">
        <v>3</v>
      </c>
    </row>
    <row r="36" spans="1:3" x14ac:dyDescent="0.45">
      <c r="A36" t="s">
        <v>0</v>
      </c>
      <c r="B36" t="s">
        <v>8</v>
      </c>
      <c r="C36">
        <v>2</v>
      </c>
    </row>
    <row r="37" spans="1:3" x14ac:dyDescent="0.45">
      <c r="A37" t="s">
        <v>0</v>
      </c>
      <c r="B37" t="s">
        <v>8</v>
      </c>
      <c r="C37">
        <v>4</v>
      </c>
    </row>
    <row r="38" spans="1:3" x14ac:dyDescent="0.45">
      <c r="A38" t="s">
        <v>7</v>
      </c>
      <c r="B38" t="s">
        <v>8</v>
      </c>
      <c r="C38">
        <v>4</v>
      </c>
    </row>
    <row r="39" spans="1:3" x14ac:dyDescent="0.45">
      <c r="A39" t="s">
        <v>0</v>
      </c>
      <c r="B39" t="s">
        <v>1</v>
      </c>
      <c r="C39">
        <v>2</v>
      </c>
    </row>
    <row r="40" spans="1:3" x14ac:dyDescent="0.45">
      <c r="A40" t="s">
        <v>7</v>
      </c>
      <c r="B40" t="s">
        <v>1</v>
      </c>
      <c r="C40">
        <v>3</v>
      </c>
    </row>
    <row r="41" spans="1:3" x14ac:dyDescent="0.45">
      <c r="A41" t="s">
        <v>7</v>
      </c>
      <c r="B41" t="s">
        <v>1</v>
      </c>
      <c r="C41">
        <v>3</v>
      </c>
    </row>
    <row r="42" spans="1:3" x14ac:dyDescent="0.45">
      <c r="A42" t="s">
        <v>9</v>
      </c>
      <c r="B42" t="s">
        <v>1</v>
      </c>
      <c r="C42">
        <v>3</v>
      </c>
    </row>
    <row r="43" spans="1:3" x14ac:dyDescent="0.45">
      <c r="A43" t="s">
        <v>9</v>
      </c>
      <c r="B43" t="s">
        <v>1</v>
      </c>
      <c r="C43">
        <v>4</v>
      </c>
    </row>
    <row r="44" spans="1:3" x14ac:dyDescent="0.45">
      <c r="A44" t="s">
        <v>0</v>
      </c>
      <c r="B44" t="s">
        <v>8</v>
      </c>
      <c r="C44">
        <v>4</v>
      </c>
    </row>
    <row r="45" spans="1:3" x14ac:dyDescent="0.45">
      <c r="A45" t="s">
        <v>0</v>
      </c>
      <c r="B45" t="s">
        <v>1</v>
      </c>
      <c r="C45">
        <v>3</v>
      </c>
    </row>
    <row r="46" spans="1:3" x14ac:dyDescent="0.45">
      <c r="A46" t="s">
        <v>9</v>
      </c>
      <c r="B46" t="s">
        <v>8</v>
      </c>
      <c r="C46">
        <v>2</v>
      </c>
    </row>
    <row r="47" spans="1:3" x14ac:dyDescent="0.45">
      <c r="A47" t="s">
        <v>0</v>
      </c>
      <c r="B47" t="s">
        <v>1</v>
      </c>
      <c r="C47">
        <v>1</v>
      </c>
    </row>
    <row r="48" spans="1:3" x14ac:dyDescent="0.45">
      <c r="A48" t="s">
        <v>35</v>
      </c>
      <c r="B48" t="s">
        <v>1</v>
      </c>
      <c r="C48">
        <v>1</v>
      </c>
    </row>
    <row r="49" spans="1:3" x14ac:dyDescent="0.45">
      <c r="A49" t="s">
        <v>9</v>
      </c>
      <c r="B49" t="s">
        <v>1</v>
      </c>
      <c r="C49">
        <v>5</v>
      </c>
    </row>
    <row r="50" spans="1:3" x14ac:dyDescent="0.45">
      <c r="A50" t="s">
        <v>9</v>
      </c>
      <c r="B50" t="s">
        <v>8</v>
      </c>
      <c r="C50">
        <v>2</v>
      </c>
    </row>
    <row r="51" spans="1:3" x14ac:dyDescent="0.45">
      <c r="A51" t="s">
        <v>0</v>
      </c>
      <c r="B51" t="s">
        <v>8</v>
      </c>
      <c r="C51">
        <v>3</v>
      </c>
    </row>
    <row r="52" spans="1:3" x14ac:dyDescent="0.45">
      <c r="A52" t="s">
        <v>0</v>
      </c>
      <c r="B52" t="s">
        <v>1</v>
      </c>
      <c r="C52">
        <v>3</v>
      </c>
    </row>
    <row r="53" spans="1:3" x14ac:dyDescent="0.45">
      <c r="A53" t="s">
        <v>9</v>
      </c>
      <c r="B53" t="s">
        <v>1</v>
      </c>
      <c r="C53">
        <v>5</v>
      </c>
    </row>
    <row r="54" spans="1:3" x14ac:dyDescent="0.45">
      <c r="A54" t="s">
        <v>7</v>
      </c>
      <c r="B54" t="s">
        <v>1</v>
      </c>
      <c r="C54">
        <v>4</v>
      </c>
    </row>
    <row r="55" spans="1:3" x14ac:dyDescent="0.45">
      <c r="A55" t="s">
        <v>35</v>
      </c>
      <c r="B55" t="s">
        <v>8</v>
      </c>
      <c r="C55">
        <v>2</v>
      </c>
    </row>
    <row r="56" spans="1:3" x14ac:dyDescent="0.45">
      <c r="A56" t="s">
        <v>35</v>
      </c>
      <c r="B56" t="s">
        <v>8</v>
      </c>
      <c r="C56">
        <v>5</v>
      </c>
    </row>
    <row r="57" spans="1:3" x14ac:dyDescent="0.45">
      <c r="A57" t="s">
        <v>7</v>
      </c>
      <c r="B57" t="s">
        <v>8</v>
      </c>
      <c r="C57">
        <v>1</v>
      </c>
    </row>
    <row r="58" spans="1:3" x14ac:dyDescent="0.45">
      <c r="A58" t="s">
        <v>7</v>
      </c>
      <c r="B58" t="s">
        <v>8</v>
      </c>
      <c r="C58">
        <v>1</v>
      </c>
    </row>
    <row r="59" spans="1:3" x14ac:dyDescent="0.45">
      <c r="A59" t="s">
        <v>7</v>
      </c>
      <c r="B59" t="s">
        <v>8</v>
      </c>
      <c r="C59">
        <v>1</v>
      </c>
    </row>
    <row r="60" spans="1:3" x14ac:dyDescent="0.45">
      <c r="A60" t="s">
        <v>7</v>
      </c>
      <c r="B60" t="s">
        <v>1</v>
      </c>
      <c r="C60">
        <v>1</v>
      </c>
    </row>
    <row r="61" spans="1:3" x14ac:dyDescent="0.45">
      <c r="A61" t="s">
        <v>7</v>
      </c>
      <c r="B61" t="s">
        <v>1</v>
      </c>
      <c r="C61">
        <v>1</v>
      </c>
    </row>
    <row r="62" spans="1:3" x14ac:dyDescent="0.45">
      <c r="A62" t="s">
        <v>7</v>
      </c>
      <c r="B62" t="s">
        <v>1</v>
      </c>
      <c r="C62">
        <v>2</v>
      </c>
    </row>
    <row r="63" spans="1:3" x14ac:dyDescent="0.45">
      <c r="A63" t="s">
        <v>9</v>
      </c>
      <c r="B63" t="s">
        <v>8</v>
      </c>
      <c r="C63">
        <v>2</v>
      </c>
    </row>
    <row r="64" spans="1:3" x14ac:dyDescent="0.45">
      <c r="A64" t="s">
        <v>9</v>
      </c>
      <c r="B64" t="s">
        <v>1</v>
      </c>
      <c r="C64">
        <v>1</v>
      </c>
    </row>
    <row r="65" spans="1:3" x14ac:dyDescent="0.45">
      <c r="A65" t="s">
        <v>10</v>
      </c>
      <c r="B65" t="s">
        <v>1</v>
      </c>
      <c r="C65">
        <v>1</v>
      </c>
    </row>
    <row r="66" spans="1:3" x14ac:dyDescent="0.45">
      <c r="A66" t="s">
        <v>7</v>
      </c>
      <c r="B66" t="s">
        <v>1</v>
      </c>
      <c r="C66">
        <v>2</v>
      </c>
    </row>
    <row r="67" spans="1:3" x14ac:dyDescent="0.45">
      <c r="A67" t="s">
        <v>9</v>
      </c>
      <c r="B67" t="s">
        <v>1</v>
      </c>
      <c r="C67">
        <v>1</v>
      </c>
    </row>
    <row r="68" spans="1:3" x14ac:dyDescent="0.45">
      <c r="A68" t="s">
        <v>9</v>
      </c>
      <c r="B68" t="s">
        <v>1</v>
      </c>
      <c r="C68">
        <v>3</v>
      </c>
    </row>
    <row r="69" spans="1:3" x14ac:dyDescent="0.45">
      <c r="A69" t="s">
        <v>9</v>
      </c>
      <c r="B69" t="s">
        <v>1</v>
      </c>
      <c r="C69">
        <v>3</v>
      </c>
    </row>
    <row r="70" spans="1:3" x14ac:dyDescent="0.45">
      <c r="A70" t="s">
        <v>9</v>
      </c>
      <c r="B70" t="s">
        <v>1</v>
      </c>
      <c r="C70">
        <v>3</v>
      </c>
    </row>
    <row r="71" spans="1:3" x14ac:dyDescent="0.45">
      <c r="A71" t="s">
        <v>9</v>
      </c>
      <c r="B71" t="s">
        <v>8</v>
      </c>
      <c r="C71">
        <v>3</v>
      </c>
    </row>
    <row r="72" spans="1:3" x14ac:dyDescent="0.45">
      <c r="A72" t="s">
        <v>0</v>
      </c>
      <c r="B72" t="s">
        <v>1</v>
      </c>
      <c r="C72">
        <v>2</v>
      </c>
    </row>
    <row r="73" spans="1:3" x14ac:dyDescent="0.45">
      <c r="A73" t="s">
        <v>7</v>
      </c>
      <c r="B73" t="s">
        <v>1</v>
      </c>
      <c r="C73">
        <v>3</v>
      </c>
    </row>
    <row r="74" spans="1:3" x14ac:dyDescent="0.45">
      <c r="A74" t="s">
        <v>7</v>
      </c>
      <c r="B74" t="s">
        <v>8</v>
      </c>
      <c r="C74">
        <v>4</v>
      </c>
    </row>
    <row r="75" spans="1:3" x14ac:dyDescent="0.45">
      <c r="A75" t="s">
        <v>7</v>
      </c>
      <c r="B75" t="s">
        <v>8</v>
      </c>
      <c r="C75">
        <v>4</v>
      </c>
    </row>
    <row r="76" spans="1:3" x14ac:dyDescent="0.45">
      <c r="A76" t="s">
        <v>0</v>
      </c>
      <c r="B76" t="s">
        <v>8</v>
      </c>
      <c r="C76">
        <v>4</v>
      </c>
    </row>
    <row r="77" spans="1:3" x14ac:dyDescent="0.45">
      <c r="A77" t="s">
        <v>0</v>
      </c>
      <c r="B77" t="s">
        <v>8</v>
      </c>
      <c r="C77">
        <v>3</v>
      </c>
    </row>
    <row r="78" spans="1:3" x14ac:dyDescent="0.45">
      <c r="A78" t="s">
        <v>0</v>
      </c>
      <c r="B78" t="s">
        <v>1</v>
      </c>
      <c r="C78">
        <v>4</v>
      </c>
    </row>
    <row r="79" spans="1:3" x14ac:dyDescent="0.45">
      <c r="A79" t="s">
        <v>9</v>
      </c>
      <c r="B79" t="s">
        <v>1</v>
      </c>
      <c r="C79">
        <v>3</v>
      </c>
    </row>
    <row r="80" spans="1:3" x14ac:dyDescent="0.45">
      <c r="A80" t="s">
        <v>9</v>
      </c>
      <c r="B80" t="s">
        <v>1</v>
      </c>
      <c r="C80">
        <v>2</v>
      </c>
    </row>
    <row r="81" spans="1:3" x14ac:dyDescent="0.45">
      <c r="A81" t="s">
        <v>0</v>
      </c>
      <c r="B81" t="s">
        <v>1</v>
      </c>
      <c r="C81">
        <v>1</v>
      </c>
    </row>
    <row r="82" spans="1:3" x14ac:dyDescent="0.45">
      <c r="A82" t="s">
        <v>0</v>
      </c>
      <c r="B82" t="s">
        <v>1</v>
      </c>
      <c r="C82">
        <v>4</v>
      </c>
    </row>
    <row r="83" spans="1:3" x14ac:dyDescent="0.45">
      <c r="A83" t="s">
        <v>0</v>
      </c>
      <c r="B83" t="s">
        <v>1</v>
      </c>
      <c r="C83">
        <v>3</v>
      </c>
    </row>
    <row r="84" spans="1:3" x14ac:dyDescent="0.45">
      <c r="A84" t="s">
        <v>0</v>
      </c>
      <c r="B84" t="s">
        <v>1</v>
      </c>
      <c r="C84">
        <v>2</v>
      </c>
    </row>
    <row r="85" spans="1:3" x14ac:dyDescent="0.45">
      <c r="A85" t="s">
        <v>0</v>
      </c>
      <c r="B85" t="s">
        <v>1</v>
      </c>
      <c r="C85">
        <v>2</v>
      </c>
    </row>
    <row r="86" spans="1:3" x14ac:dyDescent="0.45">
      <c r="A86" t="s">
        <v>9</v>
      </c>
      <c r="B86" t="s">
        <v>8</v>
      </c>
      <c r="C86">
        <v>2</v>
      </c>
    </row>
    <row r="87" spans="1:3" x14ac:dyDescent="0.45">
      <c r="A87" t="s">
        <v>9</v>
      </c>
      <c r="B87" t="s">
        <v>8</v>
      </c>
      <c r="C87">
        <v>5</v>
      </c>
    </row>
    <row r="88" spans="1:3" x14ac:dyDescent="0.45">
      <c r="A88" t="s">
        <v>0</v>
      </c>
      <c r="B88" t="s">
        <v>1</v>
      </c>
      <c r="C88">
        <v>1</v>
      </c>
    </row>
    <row r="89" spans="1:3" x14ac:dyDescent="0.45">
      <c r="A89" t="s">
        <v>9</v>
      </c>
      <c r="B89" t="s">
        <v>8</v>
      </c>
      <c r="C89">
        <v>4</v>
      </c>
    </row>
    <row r="90" spans="1:3" x14ac:dyDescent="0.45">
      <c r="A90" t="s">
        <v>9</v>
      </c>
      <c r="B90" t="s">
        <v>8</v>
      </c>
      <c r="C90">
        <v>3</v>
      </c>
    </row>
    <row r="91" spans="1:3" x14ac:dyDescent="0.45">
      <c r="A91" t="s">
        <v>9</v>
      </c>
      <c r="B91" t="s">
        <v>1</v>
      </c>
      <c r="C91">
        <v>4</v>
      </c>
    </row>
    <row r="92" spans="1:3" x14ac:dyDescent="0.45">
      <c r="A92" t="s">
        <v>9</v>
      </c>
      <c r="B92" t="s">
        <v>1</v>
      </c>
      <c r="C92">
        <v>5</v>
      </c>
    </row>
    <row r="93" spans="1:3" x14ac:dyDescent="0.45">
      <c r="A93" t="s">
        <v>7</v>
      </c>
      <c r="B93" t="s">
        <v>8</v>
      </c>
      <c r="C93">
        <v>1</v>
      </c>
    </row>
    <row r="94" spans="1:3" x14ac:dyDescent="0.45">
      <c r="A94" t="s">
        <v>9</v>
      </c>
      <c r="B94" t="s">
        <v>1</v>
      </c>
      <c r="C94">
        <v>3</v>
      </c>
    </row>
    <row r="95" spans="1:3" x14ac:dyDescent="0.45">
      <c r="A95" t="s">
        <v>7</v>
      </c>
      <c r="B95" t="s">
        <v>1</v>
      </c>
      <c r="C95">
        <v>4</v>
      </c>
    </row>
    <row r="96" spans="1:3" x14ac:dyDescent="0.45">
      <c r="A96" t="s">
        <v>35</v>
      </c>
      <c r="B96" t="s">
        <v>8</v>
      </c>
      <c r="C96">
        <v>2</v>
      </c>
    </row>
    <row r="97" spans="1:3" x14ac:dyDescent="0.45">
      <c r="A97" t="s">
        <v>7</v>
      </c>
      <c r="B97" t="s">
        <v>8</v>
      </c>
      <c r="C97">
        <v>1</v>
      </c>
    </row>
    <row r="98" spans="1:3" x14ac:dyDescent="0.45">
      <c r="A98" t="s">
        <v>7</v>
      </c>
      <c r="B98" t="s">
        <v>8</v>
      </c>
      <c r="C98">
        <v>2</v>
      </c>
    </row>
    <row r="99" spans="1:3" x14ac:dyDescent="0.45">
      <c r="A99" t="s">
        <v>9</v>
      </c>
      <c r="B99" t="s">
        <v>8</v>
      </c>
      <c r="C99">
        <v>2</v>
      </c>
    </row>
    <row r="100" spans="1:3" x14ac:dyDescent="0.45">
      <c r="A100" t="s">
        <v>10</v>
      </c>
      <c r="B100" t="s">
        <v>1</v>
      </c>
      <c r="C100">
        <v>1</v>
      </c>
    </row>
    <row r="101" spans="1:3" x14ac:dyDescent="0.45">
      <c r="A101" t="s">
        <v>9</v>
      </c>
      <c r="B101" t="s">
        <v>1</v>
      </c>
      <c r="C101">
        <v>1</v>
      </c>
    </row>
    <row r="102" spans="1:3" x14ac:dyDescent="0.45">
      <c r="A102" t="s">
        <v>9</v>
      </c>
      <c r="B102" t="s">
        <v>8</v>
      </c>
      <c r="C102">
        <v>2</v>
      </c>
    </row>
    <row r="103" spans="1:3" x14ac:dyDescent="0.45">
      <c r="A103" t="s">
        <v>9</v>
      </c>
      <c r="B103" t="s">
        <v>8</v>
      </c>
      <c r="C103">
        <v>2</v>
      </c>
    </row>
    <row r="104" spans="1:3" x14ac:dyDescent="0.45">
      <c r="A104" t="s">
        <v>9</v>
      </c>
      <c r="B104" t="s">
        <v>1</v>
      </c>
      <c r="C104">
        <v>1</v>
      </c>
    </row>
    <row r="105" spans="1:3" x14ac:dyDescent="0.45">
      <c r="A105" t="s">
        <v>0</v>
      </c>
      <c r="B105" t="s">
        <v>1</v>
      </c>
      <c r="C105">
        <v>2</v>
      </c>
    </row>
    <row r="106" spans="1:3" x14ac:dyDescent="0.45">
      <c r="A106" t="s">
        <v>9</v>
      </c>
      <c r="B106" t="s">
        <v>8</v>
      </c>
      <c r="C106">
        <v>4</v>
      </c>
    </row>
    <row r="107" spans="1:3" x14ac:dyDescent="0.45">
      <c r="A107" t="s">
        <v>0</v>
      </c>
      <c r="B107" t="s">
        <v>1</v>
      </c>
      <c r="C107">
        <v>1</v>
      </c>
    </row>
    <row r="108" spans="1:3" x14ac:dyDescent="0.45">
      <c r="A108" t="s">
        <v>0</v>
      </c>
      <c r="B108" t="s">
        <v>1</v>
      </c>
      <c r="C108">
        <v>5</v>
      </c>
    </row>
    <row r="109" spans="1:3" x14ac:dyDescent="0.45">
      <c r="A109" t="s">
        <v>0</v>
      </c>
      <c r="B109" t="s">
        <v>8</v>
      </c>
      <c r="C109">
        <v>4</v>
      </c>
    </row>
    <row r="110" spans="1:3" x14ac:dyDescent="0.45">
      <c r="A110" t="s">
        <v>0</v>
      </c>
      <c r="B110" t="s">
        <v>1</v>
      </c>
      <c r="C110">
        <v>2</v>
      </c>
    </row>
    <row r="111" spans="1:3" x14ac:dyDescent="0.45">
      <c r="A111" t="s">
        <v>9</v>
      </c>
      <c r="B111" t="s">
        <v>1</v>
      </c>
      <c r="C111">
        <v>4</v>
      </c>
    </row>
    <row r="112" spans="1:3" x14ac:dyDescent="0.45">
      <c r="A112" t="s">
        <v>7</v>
      </c>
      <c r="B112" t="s">
        <v>1</v>
      </c>
      <c r="C112">
        <v>4</v>
      </c>
    </row>
    <row r="113" spans="1:3" x14ac:dyDescent="0.45">
      <c r="A113" t="s">
        <v>0</v>
      </c>
      <c r="B113" t="s">
        <v>1</v>
      </c>
      <c r="C113">
        <v>3</v>
      </c>
    </row>
    <row r="114" spans="1:3" x14ac:dyDescent="0.45">
      <c r="A114" t="s">
        <v>9</v>
      </c>
      <c r="B114" t="s">
        <v>1</v>
      </c>
      <c r="C114">
        <v>3</v>
      </c>
    </row>
    <row r="115" spans="1:3" x14ac:dyDescent="0.45">
      <c r="A115" t="s">
        <v>0</v>
      </c>
      <c r="B115" t="s">
        <v>1</v>
      </c>
      <c r="C115">
        <v>2</v>
      </c>
    </row>
    <row r="116" spans="1:3" x14ac:dyDescent="0.45">
      <c r="A116" t="s">
        <v>0</v>
      </c>
      <c r="B116" t="s">
        <v>8</v>
      </c>
      <c r="C116">
        <v>3</v>
      </c>
    </row>
    <row r="117" spans="1:3" x14ac:dyDescent="0.45">
      <c r="A117" t="s">
        <v>9</v>
      </c>
      <c r="B117" t="s">
        <v>8</v>
      </c>
      <c r="C117">
        <v>3</v>
      </c>
    </row>
    <row r="118" spans="1:3" x14ac:dyDescent="0.45">
      <c r="A118" t="s">
        <v>9</v>
      </c>
      <c r="B118" t="s">
        <v>8</v>
      </c>
      <c r="C118">
        <v>4</v>
      </c>
    </row>
    <row r="119" spans="1:3" x14ac:dyDescent="0.45">
      <c r="A119" t="s">
        <v>9</v>
      </c>
      <c r="B119" t="s">
        <v>8</v>
      </c>
      <c r="C119">
        <v>2</v>
      </c>
    </row>
    <row r="120" spans="1:3" x14ac:dyDescent="0.45">
      <c r="A120" t="s">
        <v>0</v>
      </c>
      <c r="B120" t="s">
        <v>8</v>
      </c>
      <c r="C120">
        <v>3</v>
      </c>
    </row>
    <row r="121" spans="1:3" x14ac:dyDescent="0.45">
      <c r="A121" t="s">
        <v>9</v>
      </c>
      <c r="B121" t="s">
        <v>8</v>
      </c>
      <c r="C121">
        <v>5</v>
      </c>
    </row>
    <row r="122" spans="1:3" x14ac:dyDescent="0.45">
      <c r="A122" t="s">
        <v>9</v>
      </c>
      <c r="B122" t="s">
        <v>1</v>
      </c>
      <c r="C122">
        <v>3</v>
      </c>
    </row>
    <row r="123" spans="1:3" x14ac:dyDescent="0.45">
      <c r="A123" t="s">
        <v>9</v>
      </c>
      <c r="B123" t="s">
        <v>1</v>
      </c>
      <c r="C123">
        <v>5</v>
      </c>
    </row>
    <row r="124" spans="1:3" x14ac:dyDescent="0.45">
      <c r="A124" t="s">
        <v>7</v>
      </c>
      <c r="B124" t="s">
        <v>1</v>
      </c>
      <c r="C124">
        <v>1</v>
      </c>
    </row>
    <row r="125" spans="1:3" x14ac:dyDescent="0.45">
      <c r="A125" t="s">
        <v>7</v>
      </c>
      <c r="B125" t="s">
        <v>1</v>
      </c>
      <c r="C125">
        <v>1</v>
      </c>
    </row>
    <row r="126" spans="1:3" x14ac:dyDescent="0.45">
      <c r="A126" t="s">
        <v>7</v>
      </c>
      <c r="B126" t="s">
        <v>8</v>
      </c>
      <c r="C126">
        <v>1</v>
      </c>
    </row>
    <row r="127" spans="1:3" x14ac:dyDescent="0.45">
      <c r="A127" t="s">
        <v>9</v>
      </c>
      <c r="B127" t="s">
        <v>8</v>
      </c>
      <c r="C127">
        <v>2</v>
      </c>
    </row>
    <row r="128" spans="1:3" x14ac:dyDescent="0.45">
      <c r="A128" t="s">
        <v>0</v>
      </c>
      <c r="B128" t="s">
        <v>8</v>
      </c>
      <c r="C128">
        <v>1</v>
      </c>
    </row>
    <row r="129" spans="1:3" x14ac:dyDescent="0.45">
      <c r="A129" t="s">
        <v>9</v>
      </c>
      <c r="B129" t="s">
        <v>8</v>
      </c>
      <c r="C129">
        <v>2</v>
      </c>
    </row>
    <row r="130" spans="1:3" x14ac:dyDescent="0.45">
      <c r="A130" t="s">
        <v>9</v>
      </c>
      <c r="B130" t="s">
        <v>8</v>
      </c>
      <c r="C130">
        <v>1</v>
      </c>
    </row>
    <row r="131" spans="1:3" x14ac:dyDescent="0.45">
      <c r="A131" t="s">
        <v>9</v>
      </c>
      <c r="B131" t="s">
        <v>1</v>
      </c>
      <c r="C131">
        <v>1</v>
      </c>
    </row>
    <row r="132" spans="1:3" x14ac:dyDescent="0.45">
      <c r="A132" t="s">
        <v>9</v>
      </c>
      <c r="B132" t="s">
        <v>1</v>
      </c>
      <c r="C132">
        <v>3</v>
      </c>
    </row>
    <row r="133" spans="1:3" x14ac:dyDescent="0.45">
      <c r="A133" t="s">
        <v>0</v>
      </c>
      <c r="B133" t="s">
        <v>8</v>
      </c>
      <c r="C133">
        <v>2</v>
      </c>
    </row>
    <row r="134" spans="1:3" x14ac:dyDescent="0.45">
      <c r="A134" t="s">
        <v>9</v>
      </c>
      <c r="B134" t="s">
        <v>1</v>
      </c>
      <c r="C134">
        <v>3</v>
      </c>
    </row>
    <row r="135" spans="1:3" x14ac:dyDescent="0.45">
      <c r="A135" t="s">
        <v>9</v>
      </c>
      <c r="B135" t="s">
        <v>1</v>
      </c>
      <c r="C135">
        <v>3</v>
      </c>
    </row>
    <row r="136" spans="1:3" x14ac:dyDescent="0.45">
      <c r="A136" t="s">
        <v>9</v>
      </c>
      <c r="B136" t="s">
        <v>8</v>
      </c>
      <c r="C136">
        <v>1</v>
      </c>
    </row>
    <row r="137" spans="1:3" x14ac:dyDescent="0.45">
      <c r="A137" t="s">
        <v>0</v>
      </c>
      <c r="B137" t="s">
        <v>8</v>
      </c>
      <c r="C137">
        <v>4</v>
      </c>
    </row>
    <row r="138" spans="1:3" x14ac:dyDescent="0.45">
      <c r="A138" t="s">
        <v>7</v>
      </c>
      <c r="B138" t="s">
        <v>1</v>
      </c>
      <c r="C138">
        <v>3</v>
      </c>
    </row>
    <row r="139" spans="1:3" x14ac:dyDescent="0.45">
      <c r="A139" t="s">
        <v>0</v>
      </c>
      <c r="B139" t="s">
        <v>1</v>
      </c>
      <c r="C139">
        <v>2</v>
      </c>
    </row>
    <row r="140" spans="1:3" x14ac:dyDescent="0.45">
      <c r="A140" t="s">
        <v>0</v>
      </c>
      <c r="B140" t="s">
        <v>1</v>
      </c>
      <c r="C140">
        <v>3</v>
      </c>
    </row>
    <row r="141" spans="1:3" x14ac:dyDescent="0.45">
      <c r="A141" t="s">
        <v>9</v>
      </c>
      <c r="B141" t="s">
        <v>8</v>
      </c>
      <c r="C141">
        <v>2</v>
      </c>
    </row>
    <row r="142" spans="1:3" x14ac:dyDescent="0.45">
      <c r="A142" t="s">
        <v>9</v>
      </c>
      <c r="B142" t="s">
        <v>1</v>
      </c>
      <c r="C142">
        <v>3</v>
      </c>
    </row>
    <row r="143" spans="1:3" x14ac:dyDescent="0.45">
      <c r="A143" t="s">
        <v>0</v>
      </c>
      <c r="B143" t="s">
        <v>1</v>
      </c>
      <c r="C143">
        <v>4</v>
      </c>
    </row>
    <row r="144" spans="1:3" x14ac:dyDescent="0.45">
      <c r="A144" t="s">
        <v>0</v>
      </c>
      <c r="B144" t="s">
        <v>1</v>
      </c>
      <c r="C144">
        <v>4</v>
      </c>
    </row>
    <row r="145" spans="1:3" x14ac:dyDescent="0.45">
      <c r="A145" t="s">
        <v>0</v>
      </c>
      <c r="B145" t="s">
        <v>1</v>
      </c>
      <c r="C145">
        <v>1</v>
      </c>
    </row>
    <row r="146" spans="1:3" x14ac:dyDescent="0.45">
      <c r="A146" t="s">
        <v>9</v>
      </c>
      <c r="B146" t="s">
        <v>8</v>
      </c>
      <c r="C146">
        <v>2</v>
      </c>
    </row>
    <row r="147" spans="1:3" x14ac:dyDescent="0.45">
      <c r="A147" t="s">
        <v>9</v>
      </c>
      <c r="B147" t="s">
        <v>8</v>
      </c>
      <c r="C147">
        <v>2</v>
      </c>
    </row>
    <row r="148" spans="1:3" x14ac:dyDescent="0.45">
      <c r="A148" t="s">
        <v>7</v>
      </c>
      <c r="B148" t="s">
        <v>8</v>
      </c>
      <c r="C148">
        <v>3</v>
      </c>
    </row>
    <row r="149" spans="1:3" x14ac:dyDescent="0.45">
      <c r="A149" t="s">
        <v>0</v>
      </c>
      <c r="B149" t="s">
        <v>1</v>
      </c>
      <c r="C149">
        <v>3</v>
      </c>
    </row>
    <row r="150" spans="1:3" x14ac:dyDescent="0.45">
      <c r="A150" t="s">
        <v>9</v>
      </c>
      <c r="B150" t="s">
        <v>1</v>
      </c>
      <c r="C150">
        <v>5</v>
      </c>
    </row>
    <row r="151" spans="1:3" x14ac:dyDescent="0.45">
      <c r="A151" t="s">
        <v>7</v>
      </c>
      <c r="B151" t="s">
        <v>8</v>
      </c>
      <c r="C151">
        <v>1</v>
      </c>
    </row>
    <row r="152" spans="1:3" x14ac:dyDescent="0.45">
      <c r="A152" t="s">
        <v>35</v>
      </c>
      <c r="B152" t="s">
        <v>8</v>
      </c>
      <c r="C152">
        <v>2</v>
      </c>
    </row>
    <row r="153" spans="1:3" x14ac:dyDescent="0.45">
      <c r="A153" t="s">
        <v>35</v>
      </c>
      <c r="B153" t="s">
        <v>8</v>
      </c>
      <c r="C153">
        <v>2</v>
      </c>
    </row>
    <row r="154" spans="1:3" x14ac:dyDescent="0.45">
      <c r="A154" t="s">
        <v>7</v>
      </c>
      <c r="B154" t="s">
        <v>8</v>
      </c>
      <c r="C154">
        <v>1</v>
      </c>
    </row>
    <row r="155" spans="1:3" x14ac:dyDescent="0.45">
      <c r="A155" t="s">
        <v>7</v>
      </c>
      <c r="B155" t="s">
        <v>8</v>
      </c>
      <c r="C155">
        <v>1</v>
      </c>
    </row>
    <row r="156" spans="1:3" x14ac:dyDescent="0.45">
      <c r="A156" t="s">
        <v>7</v>
      </c>
      <c r="B156" t="s">
        <v>1</v>
      </c>
      <c r="C156">
        <v>1</v>
      </c>
    </row>
    <row r="157" spans="1:3" x14ac:dyDescent="0.45">
      <c r="A157" t="s">
        <v>9</v>
      </c>
      <c r="B157" t="s">
        <v>8</v>
      </c>
      <c r="C157">
        <v>2</v>
      </c>
    </row>
    <row r="158" spans="1:3" x14ac:dyDescent="0.45">
      <c r="A158" t="s">
        <v>9</v>
      </c>
      <c r="B158" t="s">
        <v>8</v>
      </c>
      <c r="C158">
        <v>1</v>
      </c>
    </row>
    <row r="159" spans="1:3" x14ac:dyDescent="0.45">
      <c r="A159" t="s">
        <v>9</v>
      </c>
      <c r="B159" t="s">
        <v>1</v>
      </c>
      <c r="C159">
        <v>3</v>
      </c>
    </row>
    <row r="160" spans="1:3" x14ac:dyDescent="0.45">
      <c r="A160" t="s">
        <v>9</v>
      </c>
      <c r="B160" t="s">
        <v>1</v>
      </c>
      <c r="C160">
        <v>3</v>
      </c>
    </row>
    <row r="161" spans="1:3" x14ac:dyDescent="0.45">
      <c r="A161" t="s">
        <v>9</v>
      </c>
      <c r="B161" t="s">
        <v>8</v>
      </c>
      <c r="C161">
        <v>1</v>
      </c>
    </row>
    <row r="162" spans="1:3" x14ac:dyDescent="0.45">
      <c r="A162" t="s">
        <v>9</v>
      </c>
      <c r="B162" t="s">
        <v>1</v>
      </c>
      <c r="C162">
        <v>2</v>
      </c>
    </row>
    <row r="163" spans="1:3" x14ac:dyDescent="0.45">
      <c r="A163" t="s">
        <v>0</v>
      </c>
      <c r="B163" t="s">
        <v>8</v>
      </c>
      <c r="C163">
        <v>4</v>
      </c>
    </row>
    <row r="164" spans="1:3" x14ac:dyDescent="0.45">
      <c r="A164" t="s">
        <v>0</v>
      </c>
      <c r="B164" t="s">
        <v>8</v>
      </c>
      <c r="C164">
        <v>2</v>
      </c>
    </row>
    <row r="165" spans="1:3" x14ac:dyDescent="0.45">
      <c r="A165" t="s">
        <v>7</v>
      </c>
      <c r="B165" t="s">
        <v>1</v>
      </c>
      <c r="C165">
        <v>4</v>
      </c>
    </row>
    <row r="166" spans="1:3" x14ac:dyDescent="0.45">
      <c r="A166" t="s">
        <v>9</v>
      </c>
      <c r="B166" t="s">
        <v>1</v>
      </c>
      <c r="C166">
        <v>3</v>
      </c>
    </row>
    <row r="167" spans="1:3" x14ac:dyDescent="0.45">
      <c r="A167" t="s">
        <v>0</v>
      </c>
      <c r="B167" t="s">
        <v>1</v>
      </c>
      <c r="C167">
        <v>3</v>
      </c>
    </row>
    <row r="168" spans="1:3" x14ac:dyDescent="0.45">
      <c r="A168" t="s">
        <v>9</v>
      </c>
      <c r="B168" t="s">
        <v>8</v>
      </c>
      <c r="C168">
        <v>2</v>
      </c>
    </row>
    <row r="169" spans="1:3" x14ac:dyDescent="0.45">
      <c r="A169" t="s">
        <v>0</v>
      </c>
      <c r="B169" t="s">
        <v>8</v>
      </c>
      <c r="C169">
        <v>4</v>
      </c>
    </row>
    <row r="170" spans="1:3" x14ac:dyDescent="0.45">
      <c r="A170" t="s">
        <v>9</v>
      </c>
      <c r="B170" t="s">
        <v>8</v>
      </c>
      <c r="C170">
        <v>2</v>
      </c>
    </row>
    <row r="171" spans="1:3" x14ac:dyDescent="0.45">
      <c r="A171" t="s">
        <v>35</v>
      </c>
      <c r="B171" t="s">
        <v>1</v>
      </c>
      <c r="C171">
        <v>1</v>
      </c>
    </row>
    <row r="172" spans="1:3" x14ac:dyDescent="0.45">
      <c r="A172" t="s">
        <v>9</v>
      </c>
      <c r="B172" t="s">
        <v>8</v>
      </c>
      <c r="C172">
        <v>2</v>
      </c>
    </row>
    <row r="173" spans="1:3" x14ac:dyDescent="0.45">
      <c r="A173" t="s">
        <v>0</v>
      </c>
      <c r="B173" t="s">
        <v>1</v>
      </c>
      <c r="C173">
        <v>3</v>
      </c>
    </row>
    <row r="174" spans="1:3" x14ac:dyDescent="0.45">
      <c r="A174" t="s">
        <v>0</v>
      </c>
      <c r="B174" t="s">
        <v>1</v>
      </c>
      <c r="C174">
        <v>3</v>
      </c>
    </row>
    <row r="175" spans="1:3" x14ac:dyDescent="0.45">
      <c r="A175" t="s">
        <v>0</v>
      </c>
      <c r="B175" t="s">
        <v>1</v>
      </c>
      <c r="C175">
        <v>5</v>
      </c>
    </row>
    <row r="176" spans="1:3" x14ac:dyDescent="0.45">
      <c r="A176" t="s">
        <v>9</v>
      </c>
      <c r="B176" t="s">
        <v>1</v>
      </c>
      <c r="C176">
        <v>5</v>
      </c>
    </row>
    <row r="177" spans="1:3" x14ac:dyDescent="0.45">
      <c r="A177" t="s">
        <v>7</v>
      </c>
      <c r="B177" t="s">
        <v>8</v>
      </c>
      <c r="C177">
        <v>1</v>
      </c>
    </row>
    <row r="178" spans="1:3" x14ac:dyDescent="0.45">
      <c r="A178" t="s">
        <v>7</v>
      </c>
      <c r="B178" t="s">
        <v>1</v>
      </c>
      <c r="C178">
        <v>3</v>
      </c>
    </row>
    <row r="179" spans="1:3" x14ac:dyDescent="0.45">
      <c r="A179" t="s">
        <v>7</v>
      </c>
      <c r="B179" t="s">
        <v>8</v>
      </c>
      <c r="C179">
        <v>1</v>
      </c>
    </row>
    <row r="180" spans="1:3" x14ac:dyDescent="0.45">
      <c r="A180" t="s">
        <v>7</v>
      </c>
      <c r="B180" t="s">
        <v>8</v>
      </c>
      <c r="C180">
        <v>1</v>
      </c>
    </row>
    <row r="181" spans="1:3" x14ac:dyDescent="0.45">
      <c r="A181" t="s">
        <v>7</v>
      </c>
      <c r="B181" t="s">
        <v>8</v>
      </c>
      <c r="C181">
        <v>1</v>
      </c>
    </row>
    <row r="182" spans="1:3" x14ac:dyDescent="0.45">
      <c r="A182" t="s">
        <v>7</v>
      </c>
      <c r="B182" t="s">
        <v>1</v>
      </c>
      <c r="C182">
        <v>1</v>
      </c>
    </row>
    <row r="183" spans="1:3" x14ac:dyDescent="0.45">
      <c r="A183" t="s">
        <v>35</v>
      </c>
      <c r="B183" t="s">
        <v>1</v>
      </c>
      <c r="C183">
        <v>1</v>
      </c>
    </row>
    <row r="184" spans="1:3" x14ac:dyDescent="0.45">
      <c r="A184" t="s">
        <v>0</v>
      </c>
      <c r="B184" t="s">
        <v>8</v>
      </c>
      <c r="C184">
        <v>1</v>
      </c>
    </row>
    <row r="185" spans="1:3" x14ac:dyDescent="0.45">
      <c r="A185" t="s">
        <v>7</v>
      </c>
      <c r="B185" t="s">
        <v>8</v>
      </c>
      <c r="C185">
        <v>1</v>
      </c>
    </row>
    <row r="186" spans="1:3" x14ac:dyDescent="0.45">
      <c r="A186" t="s">
        <v>10</v>
      </c>
      <c r="B186" t="s">
        <v>8</v>
      </c>
      <c r="C186">
        <v>4</v>
      </c>
    </row>
    <row r="187" spans="1:3" x14ac:dyDescent="0.45">
      <c r="A187" t="s">
        <v>9</v>
      </c>
      <c r="B187" t="s">
        <v>51</v>
      </c>
      <c r="C187">
        <v>2</v>
      </c>
    </row>
    <row r="188" spans="1:3" x14ac:dyDescent="0.45">
      <c r="A188" t="s">
        <v>10</v>
      </c>
      <c r="B188" t="s">
        <v>1</v>
      </c>
      <c r="C188">
        <v>2</v>
      </c>
    </row>
    <row r="189" spans="1:3" x14ac:dyDescent="0.45">
      <c r="A189" t="s">
        <v>0</v>
      </c>
      <c r="B189" t="s">
        <v>1</v>
      </c>
      <c r="C189">
        <v>2</v>
      </c>
    </row>
    <row r="190" spans="1:3" x14ac:dyDescent="0.45">
      <c r="A190" t="s">
        <v>0</v>
      </c>
      <c r="B190" t="s">
        <v>8</v>
      </c>
      <c r="C190">
        <v>3</v>
      </c>
    </row>
    <row r="191" spans="1:3" x14ac:dyDescent="0.45">
      <c r="A191" t="s">
        <v>0</v>
      </c>
      <c r="B191" t="s">
        <v>8</v>
      </c>
      <c r="C191">
        <v>2</v>
      </c>
    </row>
    <row r="192" spans="1:3" x14ac:dyDescent="0.45">
      <c r="A192" t="s">
        <v>0</v>
      </c>
      <c r="B192" t="s">
        <v>1</v>
      </c>
      <c r="C192">
        <v>3</v>
      </c>
    </row>
    <row r="193" spans="1:3" x14ac:dyDescent="0.45">
      <c r="A193" t="s">
        <v>0</v>
      </c>
      <c r="B193" t="s">
        <v>8</v>
      </c>
      <c r="C193">
        <v>4</v>
      </c>
    </row>
    <row r="194" spans="1:3" x14ac:dyDescent="0.45">
      <c r="A194" t="s">
        <v>0</v>
      </c>
      <c r="B194" t="s">
        <v>1</v>
      </c>
      <c r="C194">
        <v>1</v>
      </c>
    </row>
    <row r="195" spans="1:3" x14ac:dyDescent="0.45">
      <c r="A195" t="s">
        <v>9</v>
      </c>
      <c r="B195" t="s">
        <v>1</v>
      </c>
      <c r="C195">
        <v>3</v>
      </c>
    </row>
    <row r="196" spans="1:3" x14ac:dyDescent="0.45">
      <c r="A196" t="s">
        <v>9</v>
      </c>
      <c r="B196" t="s">
        <v>1</v>
      </c>
      <c r="C196">
        <v>3</v>
      </c>
    </row>
    <row r="197" spans="1:3" x14ac:dyDescent="0.45">
      <c r="A197" t="s">
        <v>9</v>
      </c>
      <c r="B197" t="s">
        <v>8</v>
      </c>
      <c r="C197">
        <v>2</v>
      </c>
    </row>
    <row r="198" spans="1:3" x14ac:dyDescent="0.45">
      <c r="A198" t="s">
        <v>9</v>
      </c>
      <c r="B198" t="s">
        <v>1</v>
      </c>
      <c r="C198">
        <v>1</v>
      </c>
    </row>
    <row r="199" spans="1:3" x14ac:dyDescent="0.45">
      <c r="A199" t="s">
        <v>7</v>
      </c>
      <c r="B199" t="s">
        <v>1</v>
      </c>
      <c r="C199">
        <v>4</v>
      </c>
    </row>
    <row r="200" spans="1:3" x14ac:dyDescent="0.45">
      <c r="A200" t="s">
        <v>0</v>
      </c>
      <c r="B200" t="s">
        <v>1</v>
      </c>
      <c r="C200">
        <v>3</v>
      </c>
    </row>
    <row r="201" spans="1:3" x14ac:dyDescent="0.45">
      <c r="A201" t="s">
        <v>0</v>
      </c>
      <c r="B201" t="s">
        <v>1</v>
      </c>
      <c r="C201">
        <v>5</v>
      </c>
    </row>
    <row r="202" spans="1:3" x14ac:dyDescent="0.45">
      <c r="A202" t="s">
        <v>0</v>
      </c>
      <c r="B202" t="s">
        <v>8</v>
      </c>
      <c r="C202">
        <v>2</v>
      </c>
    </row>
    <row r="203" spans="1:3" x14ac:dyDescent="0.45">
      <c r="A203" t="s">
        <v>35</v>
      </c>
      <c r="B203" t="s">
        <v>1</v>
      </c>
      <c r="C203">
        <v>1</v>
      </c>
    </row>
    <row r="204" spans="1:3" x14ac:dyDescent="0.45">
      <c r="A204" t="s">
        <v>9</v>
      </c>
      <c r="B204" t="s">
        <v>8</v>
      </c>
      <c r="C204">
        <v>2</v>
      </c>
    </row>
    <row r="205" spans="1:3" x14ac:dyDescent="0.45">
      <c r="A205" t="s">
        <v>9</v>
      </c>
      <c r="B205" t="s">
        <v>1</v>
      </c>
      <c r="C205">
        <v>5</v>
      </c>
    </row>
    <row r="206" spans="1:3" x14ac:dyDescent="0.45">
      <c r="A206" t="s">
        <v>7</v>
      </c>
      <c r="B206" t="s">
        <v>8</v>
      </c>
      <c r="C206">
        <v>1</v>
      </c>
    </row>
    <row r="207" spans="1:3" x14ac:dyDescent="0.45">
      <c r="A207" t="s">
        <v>7</v>
      </c>
      <c r="B207" t="s">
        <v>8</v>
      </c>
      <c r="C207">
        <v>1</v>
      </c>
    </row>
    <row r="208" spans="1:3" x14ac:dyDescent="0.45">
      <c r="A208" t="s">
        <v>35</v>
      </c>
      <c r="B208" t="s">
        <v>1</v>
      </c>
      <c r="C208">
        <v>1</v>
      </c>
    </row>
    <row r="209" spans="1:3" x14ac:dyDescent="0.45">
      <c r="A209" t="s">
        <v>35</v>
      </c>
      <c r="B209" t="s">
        <v>8</v>
      </c>
      <c r="C209">
        <v>2</v>
      </c>
    </row>
    <row r="210" spans="1:3" x14ac:dyDescent="0.45">
      <c r="A210" t="s">
        <v>35</v>
      </c>
      <c r="B210" t="s">
        <v>8</v>
      </c>
      <c r="C210">
        <v>2</v>
      </c>
    </row>
    <row r="211" spans="1:3" x14ac:dyDescent="0.45">
      <c r="A211" t="s">
        <v>0</v>
      </c>
      <c r="B211" t="s">
        <v>1</v>
      </c>
      <c r="C211">
        <v>3</v>
      </c>
    </row>
    <row r="212" spans="1:3" x14ac:dyDescent="0.45">
      <c r="A212" t="s">
        <v>55</v>
      </c>
      <c r="B212" t="s">
        <v>1</v>
      </c>
      <c r="C212">
        <v>1</v>
      </c>
    </row>
    <row r="213" spans="1:3" x14ac:dyDescent="0.45">
      <c r="A213" t="s">
        <v>7</v>
      </c>
      <c r="B213" t="s">
        <v>8</v>
      </c>
      <c r="C213">
        <v>1</v>
      </c>
    </row>
    <row r="214" spans="1:3" x14ac:dyDescent="0.45">
      <c r="A214" t="s">
        <v>7</v>
      </c>
      <c r="B214" t="s">
        <v>1</v>
      </c>
      <c r="C214">
        <v>3</v>
      </c>
    </row>
    <row r="215" spans="1:3" x14ac:dyDescent="0.45">
      <c r="A215" t="s">
        <v>7</v>
      </c>
      <c r="B215" t="s">
        <v>8</v>
      </c>
      <c r="C215">
        <v>3</v>
      </c>
    </row>
    <row r="216" spans="1:3" x14ac:dyDescent="0.45">
      <c r="A216" t="s">
        <v>9</v>
      </c>
      <c r="B216" t="s">
        <v>1</v>
      </c>
      <c r="C216">
        <v>1</v>
      </c>
    </row>
    <row r="217" spans="1:3" x14ac:dyDescent="0.45">
      <c r="A217" t="s">
        <v>7</v>
      </c>
      <c r="B217" t="s">
        <v>8</v>
      </c>
      <c r="C217">
        <v>1</v>
      </c>
    </row>
    <row r="218" spans="1:3" x14ac:dyDescent="0.45">
      <c r="A218" t="s">
        <v>9</v>
      </c>
      <c r="B218" t="s">
        <v>8</v>
      </c>
      <c r="C218">
        <v>1</v>
      </c>
    </row>
    <row r="219" spans="1:3" x14ac:dyDescent="0.45">
      <c r="A219" t="s">
        <v>7</v>
      </c>
      <c r="B219" t="s">
        <v>1</v>
      </c>
      <c r="C219">
        <v>2</v>
      </c>
    </row>
    <row r="220" spans="1:3" x14ac:dyDescent="0.45">
      <c r="A220" t="s">
        <v>7</v>
      </c>
      <c r="B220" t="s">
        <v>1</v>
      </c>
      <c r="C220">
        <v>1</v>
      </c>
    </row>
    <row r="221" spans="1:3" x14ac:dyDescent="0.45">
      <c r="A221" t="s">
        <v>9</v>
      </c>
      <c r="B221" t="s">
        <v>1</v>
      </c>
      <c r="C221">
        <v>1</v>
      </c>
    </row>
    <row r="222" spans="1:3" x14ac:dyDescent="0.45">
      <c r="A222" t="s">
        <v>9</v>
      </c>
      <c r="B222" t="s">
        <v>1</v>
      </c>
      <c r="C222">
        <v>3</v>
      </c>
    </row>
    <row r="224" spans="1:3" ht="14.65" thickBot="1" x14ac:dyDescent="0.5"/>
    <row r="225" spans="9:18" ht="14.65" thickBot="1" x14ac:dyDescent="0.5">
      <c r="K225" s="9"/>
      <c r="L225" s="7"/>
      <c r="M225" s="7"/>
      <c r="N225" s="7"/>
      <c r="O225" s="7"/>
      <c r="P225" s="7"/>
      <c r="Q225" s="7"/>
      <c r="R225" s="8"/>
    </row>
    <row r="226" spans="9:18" x14ac:dyDescent="0.45">
      <c r="K226" s="10"/>
      <c r="L226" s="3"/>
      <c r="M226" s="3"/>
      <c r="N226" s="3"/>
      <c r="O226" s="3"/>
      <c r="P226" s="3"/>
      <c r="Q226" s="3"/>
      <c r="R226" s="4"/>
    </row>
    <row r="227" spans="9:18" x14ac:dyDescent="0.45">
      <c r="K227" s="10"/>
      <c r="L227" s="3"/>
      <c r="M227" s="3"/>
      <c r="N227" s="3"/>
      <c r="O227" s="3"/>
      <c r="P227" s="3"/>
      <c r="Q227" s="3"/>
      <c r="R227" s="4"/>
    </row>
    <row r="228" spans="9:18" x14ac:dyDescent="0.45">
      <c r="K228" s="10"/>
      <c r="L228" s="3"/>
      <c r="M228" s="3"/>
      <c r="N228" s="3"/>
      <c r="O228" s="3"/>
      <c r="P228" s="3"/>
      <c r="Q228" s="3"/>
      <c r="R228" s="4"/>
    </row>
    <row r="229" spans="9:18" x14ac:dyDescent="0.45">
      <c r="K229" s="10"/>
      <c r="L229" s="3"/>
      <c r="M229" s="3"/>
      <c r="N229" s="3"/>
      <c r="O229" s="3"/>
      <c r="P229" s="3"/>
      <c r="Q229" s="3"/>
      <c r="R229" s="4"/>
    </row>
    <row r="230" spans="9:18" x14ac:dyDescent="0.45">
      <c r="K230" s="10"/>
      <c r="L230" s="3"/>
      <c r="M230" s="3"/>
      <c r="N230" s="3"/>
      <c r="O230" s="3"/>
      <c r="P230" s="3"/>
      <c r="Q230" s="3"/>
      <c r="R230" s="4"/>
    </row>
    <row r="231" spans="9:18" x14ac:dyDescent="0.45">
      <c r="K231" s="10"/>
      <c r="L231" s="3"/>
      <c r="M231" s="3"/>
      <c r="N231" s="3"/>
      <c r="O231" s="3"/>
      <c r="P231" s="3"/>
      <c r="Q231" s="3"/>
      <c r="R231" s="4"/>
    </row>
    <row r="232" spans="9:18" ht="14.65" thickBot="1" x14ac:dyDescent="0.5">
      <c r="K232" s="11"/>
      <c r="L232" s="5"/>
      <c r="M232" s="5"/>
      <c r="N232" s="5"/>
      <c r="O232" s="5"/>
      <c r="P232" s="5"/>
      <c r="Q232" s="5"/>
      <c r="R232" s="6"/>
    </row>
    <row r="235" spans="9:18" x14ac:dyDescent="0.45">
      <c r="I235" s="3"/>
      <c r="J235" s="3"/>
      <c r="K235" s="3"/>
    </row>
    <row r="236" spans="9:18" x14ac:dyDescent="0.45">
      <c r="I236" s="3"/>
      <c r="J236" s="3"/>
      <c r="K236" s="3"/>
    </row>
    <row r="237" spans="9:18" x14ac:dyDescent="0.45">
      <c r="I237" s="3"/>
      <c r="J237" s="3"/>
      <c r="K237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0810-37C8-44EF-B18E-5B41D17E1783}">
  <dimension ref="A1:R237"/>
  <sheetViews>
    <sheetView topLeftCell="F216" workbookViewId="0">
      <selection activeCell="L232" sqref="L232:R232"/>
    </sheetView>
  </sheetViews>
  <sheetFormatPr defaultRowHeight="14.25" x14ac:dyDescent="0.45"/>
  <cols>
    <col min="6" max="7" width="18.19921875" bestFit="1" customWidth="1"/>
    <col min="9" max="9" width="11.73046875" bestFit="1" customWidth="1"/>
    <col min="10" max="10" width="10.73046875" bestFit="1" customWidth="1"/>
    <col min="11" max="11" width="11.73046875" bestFit="1" customWidth="1"/>
  </cols>
  <sheetData>
    <row r="1" spans="1:10" x14ac:dyDescent="0.45">
      <c r="A1" t="s">
        <v>12</v>
      </c>
      <c r="B1" t="s">
        <v>13</v>
      </c>
      <c r="C1" t="s">
        <v>14</v>
      </c>
      <c r="E1" t="s">
        <v>16</v>
      </c>
      <c r="H1" t="s">
        <v>67</v>
      </c>
      <c r="J1" t="s">
        <v>56</v>
      </c>
    </row>
    <row r="2" spans="1:10" x14ac:dyDescent="0.45">
      <c r="A2" t="s">
        <v>0</v>
      </c>
      <c r="B2" t="s">
        <v>1</v>
      </c>
      <c r="C2">
        <v>1</v>
      </c>
      <c r="E2">
        <v>5</v>
      </c>
      <c r="H2" t="s">
        <v>2</v>
      </c>
      <c r="J2" t="s">
        <v>5</v>
      </c>
    </row>
    <row r="3" spans="1:10" x14ac:dyDescent="0.45">
      <c r="A3" t="s">
        <v>0</v>
      </c>
      <c r="B3" t="s">
        <v>1</v>
      </c>
      <c r="C3">
        <v>3</v>
      </c>
      <c r="E3">
        <v>5</v>
      </c>
      <c r="H3" t="s">
        <v>5</v>
      </c>
      <c r="J3" t="s">
        <v>5</v>
      </c>
    </row>
    <row r="4" spans="1:10" x14ac:dyDescent="0.45">
      <c r="A4" t="s">
        <v>0</v>
      </c>
      <c r="B4" t="s">
        <v>1</v>
      </c>
      <c r="C4">
        <v>2</v>
      </c>
      <c r="E4">
        <v>4</v>
      </c>
      <c r="H4" t="s">
        <v>5</v>
      </c>
      <c r="J4" t="s">
        <v>5</v>
      </c>
    </row>
    <row r="5" spans="1:10" x14ac:dyDescent="0.45">
      <c r="A5" t="s">
        <v>0</v>
      </c>
      <c r="B5" t="s">
        <v>1</v>
      </c>
      <c r="C5">
        <v>2</v>
      </c>
      <c r="E5">
        <v>4</v>
      </c>
      <c r="H5" t="s">
        <v>2</v>
      </c>
      <c r="J5" t="s">
        <v>5</v>
      </c>
    </row>
    <row r="6" spans="1:10" x14ac:dyDescent="0.45">
      <c r="A6" t="s">
        <v>7</v>
      </c>
      <c r="B6" t="s">
        <v>8</v>
      </c>
      <c r="C6">
        <v>4</v>
      </c>
      <c r="E6">
        <v>5</v>
      </c>
      <c r="H6" t="s">
        <v>5</v>
      </c>
      <c r="J6" t="s">
        <v>5</v>
      </c>
    </row>
    <row r="7" spans="1:10" x14ac:dyDescent="0.45">
      <c r="A7" t="s">
        <v>0</v>
      </c>
      <c r="B7" t="s">
        <v>1</v>
      </c>
      <c r="C7">
        <v>3</v>
      </c>
      <c r="E7">
        <v>4</v>
      </c>
      <c r="H7" t="s">
        <v>5</v>
      </c>
      <c r="J7" t="s">
        <v>5</v>
      </c>
    </row>
    <row r="8" spans="1:10" x14ac:dyDescent="0.45">
      <c r="A8" t="s">
        <v>7</v>
      </c>
      <c r="B8" t="s">
        <v>1</v>
      </c>
      <c r="C8">
        <v>3</v>
      </c>
      <c r="E8">
        <v>5</v>
      </c>
      <c r="H8" t="s">
        <v>5</v>
      </c>
      <c r="J8" t="s">
        <v>5</v>
      </c>
    </row>
    <row r="9" spans="1:10" x14ac:dyDescent="0.45">
      <c r="A9" t="s">
        <v>0</v>
      </c>
      <c r="B9" t="s">
        <v>1</v>
      </c>
      <c r="C9">
        <v>2</v>
      </c>
      <c r="E9">
        <v>5</v>
      </c>
      <c r="H9" t="s">
        <v>5</v>
      </c>
      <c r="J9" t="s">
        <v>5</v>
      </c>
    </row>
    <row r="10" spans="1:10" x14ac:dyDescent="0.45">
      <c r="A10" t="s">
        <v>9</v>
      </c>
      <c r="B10" t="s">
        <v>1</v>
      </c>
      <c r="C10">
        <v>3</v>
      </c>
      <c r="E10">
        <v>5</v>
      </c>
      <c r="H10" t="s">
        <v>5</v>
      </c>
      <c r="J10" t="s">
        <v>5</v>
      </c>
    </row>
    <row r="11" spans="1:10" x14ac:dyDescent="0.45">
      <c r="A11" t="s">
        <v>0</v>
      </c>
      <c r="B11" t="s">
        <v>1</v>
      </c>
      <c r="C11">
        <v>4</v>
      </c>
      <c r="E11">
        <v>5</v>
      </c>
      <c r="H11" t="s">
        <v>5</v>
      </c>
      <c r="J11" t="s">
        <v>5</v>
      </c>
    </row>
    <row r="12" spans="1:10" x14ac:dyDescent="0.45">
      <c r="A12" t="s">
        <v>0</v>
      </c>
      <c r="B12" t="s">
        <v>8</v>
      </c>
      <c r="C12">
        <v>4</v>
      </c>
      <c r="E12">
        <v>5</v>
      </c>
      <c r="H12" t="s">
        <v>2</v>
      </c>
      <c r="J12" t="s">
        <v>5</v>
      </c>
    </row>
    <row r="13" spans="1:10" x14ac:dyDescent="0.45">
      <c r="A13" t="s">
        <v>10</v>
      </c>
      <c r="B13" t="s">
        <v>1</v>
      </c>
      <c r="C13">
        <v>5</v>
      </c>
      <c r="E13">
        <v>5</v>
      </c>
      <c r="H13" t="s">
        <v>5</v>
      </c>
      <c r="J13" t="s">
        <v>5</v>
      </c>
    </row>
    <row r="14" spans="1:10" x14ac:dyDescent="0.45">
      <c r="A14" t="s">
        <v>0</v>
      </c>
      <c r="B14" t="s">
        <v>8</v>
      </c>
      <c r="C14">
        <v>4</v>
      </c>
      <c r="E14">
        <v>5</v>
      </c>
      <c r="H14" t="s">
        <v>5</v>
      </c>
      <c r="J14" t="s">
        <v>5</v>
      </c>
    </row>
    <row r="15" spans="1:10" x14ac:dyDescent="0.45">
      <c r="A15" t="s">
        <v>9</v>
      </c>
      <c r="B15" t="s">
        <v>8</v>
      </c>
      <c r="C15">
        <v>1</v>
      </c>
      <c r="E15">
        <v>5</v>
      </c>
      <c r="H15" t="s">
        <v>5</v>
      </c>
      <c r="J15" t="s">
        <v>5</v>
      </c>
    </row>
    <row r="16" spans="1:10" x14ac:dyDescent="0.45">
      <c r="A16" t="s">
        <v>9</v>
      </c>
      <c r="B16" t="s">
        <v>8</v>
      </c>
      <c r="C16">
        <v>2</v>
      </c>
      <c r="E16">
        <v>5</v>
      </c>
      <c r="H16" t="s">
        <v>5</v>
      </c>
      <c r="J16" t="s">
        <v>5</v>
      </c>
    </row>
    <row r="17" spans="1:10" x14ac:dyDescent="0.45">
      <c r="A17" t="s">
        <v>0</v>
      </c>
      <c r="B17" t="s">
        <v>8</v>
      </c>
      <c r="C17">
        <v>1</v>
      </c>
      <c r="E17">
        <v>4</v>
      </c>
      <c r="H17" t="s">
        <v>5</v>
      </c>
      <c r="J17" t="s">
        <v>5</v>
      </c>
    </row>
    <row r="18" spans="1:10" x14ac:dyDescent="0.45">
      <c r="A18" t="s">
        <v>0</v>
      </c>
      <c r="B18" t="s">
        <v>1</v>
      </c>
      <c r="C18">
        <v>1</v>
      </c>
      <c r="E18">
        <v>3</v>
      </c>
      <c r="H18" t="s">
        <v>11</v>
      </c>
      <c r="J18" t="s">
        <v>5</v>
      </c>
    </row>
    <row r="19" spans="1:10" x14ac:dyDescent="0.45">
      <c r="A19" t="s">
        <v>9</v>
      </c>
      <c r="B19" t="s">
        <v>1</v>
      </c>
      <c r="C19">
        <v>5</v>
      </c>
      <c r="E19">
        <v>5</v>
      </c>
      <c r="H19" t="s">
        <v>5</v>
      </c>
      <c r="J19" t="s">
        <v>5</v>
      </c>
    </row>
    <row r="20" spans="1:10" x14ac:dyDescent="0.45">
      <c r="A20" t="s">
        <v>0</v>
      </c>
      <c r="B20" t="s">
        <v>1</v>
      </c>
      <c r="C20">
        <v>3</v>
      </c>
      <c r="E20">
        <v>5</v>
      </c>
      <c r="H20" t="s">
        <v>2</v>
      </c>
      <c r="J20" t="s">
        <v>5</v>
      </c>
    </row>
    <row r="21" spans="1:10" x14ac:dyDescent="0.45">
      <c r="A21" t="s">
        <v>7</v>
      </c>
      <c r="B21" t="s">
        <v>8</v>
      </c>
      <c r="C21">
        <v>1</v>
      </c>
      <c r="E21">
        <v>5</v>
      </c>
      <c r="H21" t="s">
        <v>2</v>
      </c>
      <c r="J21" t="s">
        <v>5</v>
      </c>
    </row>
    <row r="22" spans="1:10" x14ac:dyDescent="0.45">
      <c r="A22" t="s">
        <v>7</v>
      </c>
      <c r="B22" t="s">
        <v>8</v>
      </c>
      <c r="C22">
        <v>1</v>
      </c>
      <c r="E22">
        <v>4</v>
      </c>
      <c r="H22" t="s">
        <v>2</v>
      </c>
      <c r="J22" t="s">
        <v>5</v>
      </c>
    </row>
    <row r="23" spans="1:10" x14ac:dyDescent="0.45">
      <c r="A23" t="s">
        <v>7</v>
      </c>
      <c r="B23" t="s">
        <v>8</v>
      </c>
      <c r="C23">
        <v>1</v>
      </c>
      <c r="E23">
        <v>1</v>
      </c>
      <c r="H23" t="s">
        <v>5</v>
      </c>
      <c r="J23" t="s">
        <v>5</v>
      </c>
    </row>
    <row r="24" spans="1:10" x14ac:dyDescent="0.45">
      <c r="A24" t="s">
        <v>7</v>
      </c>
      <c r="B24" t="s">
        <v>8</v>
      </c>
      <c r="C24">
        <v>1</v>
      </c>
      <c r="E24">
        <v>1</v>
      </c>
      <c r="H24" t="s">
        <v>5</v>
      </c>
      <c r="J24" t="s">
        <v>5</v>
      </c>
    </row>
    <row r="25" spans="1:10" x14ac:dyDescent="0.45">
      <c r="A25" t="s">
        <v>7</v>
      </c>
      <c r="B25" t="s">
        <v>1</v>
      </c>
      <c r="C25">
        <v>1</v>
      </c>
      <c r="E25">
        <v>5</v>
      </c>
      <c r="H25" t="s">
        <v>2</v>
      </c>
      <c r="J25" t="s">
        <v>5</v>
      </c>
    </row>
    <row r="26" spans="1:10" x14ac:dyDescent="0.45">
      <c r="A26" t="s">
        <v>9</v>
      </c>
      <c r="B26" t="s">
        <v>8</v>
      </c>
      <c r="C26">
        <v>2</v>
      </c>
      <c r="E26">
        <v>4</v>
      </c>
      <c r="H26" t="s">
        <v>5</v>
      </c>
      <c r="J26" t="s">
        <v>5</v>
      </c>
    </row>
    <row r="27" spans="1:10" x14ac:dyDescent="0.45">
      <c r="A27" t="s">
        <v>0</v>
      </c>
      <c r="B27" t="s">
        <v>8</v>
      </c>
      <c r="C27">
        <v>1</v>
      </c>
      <c r="E27">
        <v>4</v>
      </c>
      <c r="H27" t="s">
        <v>5</v>
      </c>
      <c r="J27" t="s">
        <v>5</v>
      </c>
    </row>
    <row r="28" spans="1:10" x14ac:dyDescent="0.45">
      <c r="A28" t="s">
        <v>0</v>
      </c>
      <c r="B28" t="s">
        <v>8</v>
      </c>
      <c r="C28">
        <v>1</v>
      </c>
      <c r="E28">
        <v>3</v>
      </c>
      <c r="H28" t="s">
        <v>2</v>
      </c>
      <c r="J28" t="s">
        <v>5</v>
      </c>
    </row>
    <row r="29" spans="1:10" x14ac:dyDescent="0.45">
      <c r="A29" t="s">
        <v>7</v>
      </c>
      <c r="B29" t="s">
        <v>8</v>
      </c>
      <c r="C29">
        <v>1</v>
      </c>
      <c r="E29">
        <v>5</v>
      </c>
      <c r="H29" t="s">
        <v>5</v>
      </c>
      <c r="J29" t="s">
        <v>5</v>
      </c>
    </row>
    <row r="30" spans="1:10" x14ac:dyDescent="0.45">
      <c r="A30" t="s">
        <v>7</v>
      </c>
      <c r="B30" t="s">
        <v>1</v>
      </c>
      <c r="C30">
        <v>2</v>
      </c>
      <c r="E30">
        <v>5</v>
      </c>
      <c r="H30" t="s">
        <v>5</v>
      </c>
      <c r="J30" t="s">
        <v>5</v>
      </c>
    </row>
    <row r="31" spans="1:10" x14ac:dyDescent="0.45">
      <c r="A31" t="s">
        <v>9</v>
      </c>
      <c r="B31" t="s">
        <v>1</v>
      </c>
      <c r="C31">
        <v>1</v>
      </c>
      <c r="E31">
        <v>5</v>
      </c>
      <c r="H31" t="s">
        <v>2</v>
      </c>
      <c r="J31" t="s">
        <v>5</v>
      </c>
    </row>
    <row r="32" spans="1:10" x14ac:dyDescent="0.45">
      <c r="A32" t="s">
        <v>9</v>
      </c>
      <c r="B32" t="s">
        <v>1</v>
      </c>
      <c r="C32">
        <v>3</v>
      </c>
      <c r="E32">
        <v>5</v>
      </c>
      <c r="H32" t="s">
        <v>5</v>
      </c>
      <c r="J32" t="s">
        <v>5</v>
      </c>
    </row>
    <row r="33" spans="1:10" x14ac:dyDescent="0.45">
      <c r="A33" t="s">
        <v>10</v>
      </c>
      <c r="B33" t="s">
        <v>1</v>
      </c>
      <c r="C33">
        <v>3</v>
      </c>
      <c r="E33">
        <v>5</v>
      </c>
      <c r="H33" t="s">
        <v>5</v>
      </c>
      <c r="J33" t="s">
        <v>5</v>
      </c>
    </row>
    <row r="34" spans="1:10" x14ac:dyDescent="0.45">
      <c r="A34" t="s">
        <v>9</v>
      </c>
      <c r="B34" t="s">
        <v>8</v>
      </c>
      <c r="C34">
        <v>3</v>
      </c>
      <c r="E34">
        <v>5</v>
      </c>
      <c r="H34" t="s">
        <v>5</v>
      </c>
      <c r="J34" t="s">
        <v>5</v>
      </c>
    </row>
    <row r="35" spans="1:10" x14ac:dyDescent="0.45">
      <c r="A35" t="s">
        <v>9</v>
      </c>
      <c r="B35" t="s">
        <v>1</v>
      </c>
      <c r="C35">
        <v>3</v>
      </c>
      <c r="E35">
        <v>4</v>
      </c>
      <c r="H35" t="s">
        <v>5</v>
      </c>
      <c r="J35" t="s">
        <v>5</v>
      </c>
    </row>
    <row r="36" spans="1:10" x14ac:dyDescent="0.45">
      <c r="A36" t="s">
        <v>0</v>
      </c>
      <c r="B36" t="s">
        <v>8</v>
      </c>
      <c r="C36">
        <v>2</v>
      </c>
      <c r="E36">
        <v>3</v>
      </c>
      <c r="H36" t="s">
        <v>29</v>
      </c>
      <c r="J36" t="s">
        <v>29</v>
      </c>
    </row>
    <row r="37" spans="1:10" x14ac:dyDescent="0.45">
      <c r="A37" t="s">
        <v>0</v>
      </c>
      <c r="B37" t="s">
        <v>8</v>
      </c>
      <c r="C37">
        <v>4</v>
      </c>
      <c r="E37">
        <v>5</v>
      </c>
      <c r="H37" t="s">
        <v>29</v>
      </c>
      <c r="J37" t="s">
        <v>29</v>
      </c>
    </row>
    <row r="38" spans="1:10" x14ac:dyDescent="0.45">
      <c r="A38" t="s">
        <v>7</v>
      </c>
      <c r="B38" t="s">
        <v>8</v>
      </c>
      <c r="C38">
        <v>4</v>
      </c>
      <c r="E38">
        <v>5</v>
      </c>
      <c r="H38" t="s">
        <v>33</v>
      </c>
      <c r="J38" t="s">
        <v>29</v>
      </c>
    </row>
    <row r="39" spans="1:10" x14ac:dyDescent="0.45">
      <c r="A39" t="s">
        <v>0</v>
      </c>
      <c r="B39" t="s">
        <v>1</v>
      </c>
      <c r="C39">
        <v>2</v>
      </c>
      <c r="E39">
        <v>4</v>
      </c>
      <c r="H39" t="s">
        <v>29</v>
      </c>
      <c r="J39" t="s">
        <v>29</v>
      </c>
    </row>
    <row r="40" spans="1:10" x14ac:dyDescent="0.45">
      <c r="A40" t="s">
        <v>7</v>
      </c>
      <c r="B40" t="s">
        <v>1</v>
      </c>
      <c r="C40">
        <v>3</v>
      </c>
      <c r="E40">
        <v>4</v>
      </c>
      <c r="H40" t="s">
        <v>33</v>
      </c>
      <c r="J40" t="s">
        <v>29</v>
      </c>
    </row>
    <row r="41" spans="1:10" x14ac:dyDescent="0.45">
      <c r="A41" t="s">
        <v>7</v>
      </c>
      <c r="B41" t="s">
        <v>1</v>
      </c>
      <c r="C41">
        <v>3</v>
      </c>
      <c r="E41">
        <v>5</v>
      </c>
      <c r="H41" t="s">
        <v>29</v>
      </c>
      <c r="J41" t="s">
        <v>29</v>
      </c>
    </row>
    <row r="42" spans="1:10" x14ac:dyDescent="0.45">
      <c r="A42" t="s">
        <v>9</v>
      </c>
      <c r="B42" t="s">
        <v>1</v>
      </c>
      <c r="C42">
        <v>3</v>
      </c>
      <c r="E42">
        <v>5</v>
      </c>
      <c r="H42" t="s">
        <v>33</v>
      </c>
      <c r="J42" t="s">
        <v>29</v>
      </c>
    </row>
    <row r="43" spans="1:10" x14ac:dyDescent="0.45">
      <c r="A43" t="s">
        <v>9</v>
      </c>
      <c r="B43" t="s">
        <v>1</v>
      </c>
      <c r="C43">
        <v>4</v>
      </c>
      <c r="E43">
        <v>4</v>
      </c>
      <c r="H43" t="s">
        <v>33</v>
      </c>
      <c r="J43" t="s">
        <v>29</v>
      </c>
    </row>
    <row r="44" spans="1:10" x14ac:dyDescent="0.45">
      <c r="A44" t="s">
        <v>0</v>
      </c>
      <c r="B44" t="s">
        <v>8</v>
      </c>
      <c r="C44">
        <v>4</v>
      </c>
      <c r="E44">
        <v>3</v>
      </c>
      <c r="H44" t="s">
        <v>33</v>
      </c>
      <c r="J44" t="s">
        <v>29</v>
      </c>
    </row>
    <row r="45" spans="1:10" x14ac:dyDescent="0.45">
      <c r="A45" t="s">
        <v>0</v>
      </c>
      <c r="B45" t="s">
        <v>1</v>
      </c>
      <c r="C45">
        <v>3</v>
      </c>
      <c r="E45">
        <v>2</v>
      </c>
      <c r="H45" t="s">
        <v>33</v>
      </c>
      <c r="J45" t="s">
        <v>29</v>
      </c>
    </row>
    <row r="46" spans="1:10" x14ac:dyDescent="0.45">
      <c r="A46" t="s">
        <v>9</v>
      </c>
      <c r="B46" t="s">
        <v>8</v>
      </c>
      <c r="C46">
        <v>2</v>
      </c>
      <c r="E46">
        <v>2</v>
      </c>
      <c r="H46" t="s">
        <v>34</v>
      </c>
      <c r="J46" t="s">
        <v>29</v>
      </c>
    </row>
    <row r="47" spans="1:10" x14ac:dyDescent="0.45">
      <c r="A47" t="s">
        <v>0</v>
      </c>
      <c r="B47" t="s">
        <v>1</v>
      </c>
      <c r="C47">
        <v>1</v>
      </c>
      <c r="E47">
        <v>5</v>
      </c>
      <c r="H47" t="s">
        <v>33</v>
      </c>
      <c r="J47" t="s">
        <v>29</v>
      </c>
    </row>
    <row r="48" spans="1:10" x14ac:dyDescent="0.45">
      <c r="A48" t="s">
        <v>35</v>
      </c>
      <c r="B48" t="s">
        <v>1</v>
      </c>
      <c r="C48">
        <v>1</v>
      </c>
      <c r="E48">
        <v>5</v>
      </c>
      <c r="H48" t="s">
        <v>33</v>
      </c>
      <c r="J48" t="s">
        <v>29</v>
      </c>
    </row>
    <row r="49" spans="1:10" x14ac:dyDescent="0.45">
      <c r="A49" t="s">
        <v>9</v>
      </c>
      <c r="B49" t="s">
        <v>1</v>
      </c>
      <c r="C49">
        <v>5</v>
      </c>
      <c r="E49">
        <v>3</v>
      </c>
      <c r="H49" t="s">
        <v>11</v>
      </c>
      <c r="J49" t="s">
        <v>29</v>
      </c>
    </row>
    <row r="50" spans="1:10" x14ac:dyDescent="0.45">
      <c r="A50" t="s">
        <v>9</v>
      </c>
      <c r="B50" t="s">
        <v>8</v>
      </c>
      <c r="C50">
        <v>2</v>
      </c>
      <c r="E50">
        <v>4</v>
      </c>
      <c r="H50" t="s">
        <v>29</v>
      </c>
      <c r="J50" t="s">
        <v>29</v>
      </c>
    </row>
    <row r="51" spans="1:10" x14ac:dyDescent="0.45">
      <c r="A51" t="s">
        <v>0</v>
      </c>
      <c r="B51" t="s">
        <v>8</v>
      </c>
      <c r="C51">
        <v>3</v>
      </c>
      <c r="E51">
        <v>2</v>
      </c>
      <c r="H51" t="s">
        <v>33</v>
      </c>
      <c r="J51" t="s">
        <v>29</v>
      </c>
    </row>
    <row r="52" spans="1:10" x14ac:dyDescent="0.45">
      <c r="A52" t="s">
        <v>0</v>
      </c>
      <c r="B52" t="s">
        <v>1</v>
      </c>
      <c r="C52">
        <v>3</v>
      </c>
      <c r="E52">
        <v>5</v>
      </c>
      <c r="H52" t="s">
        <v>29</v>
      </c>
      <c r="J52" t="s">
        <v>29</v>
      </c>
    </row>
    <row r="53" spans="1:10" x14ac:dyDescent="0.45">
      <c r="A53" t="s">
        <v>9</v>
      </c>
      <c r="B53" t="s">
        <v>1</v>
      </c>
      <c r="C53">
        <v>5</v>
      </c>
      <c r="E53">
        <v>4</v>
      </c>
      <c r="H53" t="s">
        <v>29</v>
      </c>
      <c r="J53" t="s">
        <v>29</v>
      </c>
    </row>
    <row r="54" spans="1:10" x14ac:dyDescent="0.45">
      <c r="A54" t="s">
        <v>7</v>
      </c>
      <c r="B54" t="s">
        <v>1</v>
      </c>
      <c r="C54">
        <v>4</v>
      </c>
      <c r="E54">
        <v>5</v>
      </c>
      <c r="H54" t="s">
        <v>33</v>
      </c>
      <c r="J54" t="s">
        <v>29</v>
      </c>
    </row>
    <row r="55" spans="1:10" x14ac:dyDescent="0.45">
      <c r="A55" t="s">
        <v>35</v>
      </c>
      <c r="B55" t="s">
        <v>8</v>
      </c>
      <c r="C55">
        <v>2</v>
      </c>
      <c r="E55">
        <v>4</v>
      </c>
      <c r="H55" t="s">
        <v>33</v>
      </c>
      <c r="J55" t="s">
        <v>29</v>
      </c>
    </row>
    <row r="56" spans="1:10" x14ac:dyDescent="0.45">
      <c r="A56" t="s">
        <v>35</v>
      </c>
      <c r="B56" t="s">
        <v>8</v>
      </c>
      <c r="C56">
        <v>5</v>
      </c>
      <c r="E56">
        <v>4</v>
      </c>
      <c r="H56" t="s">
        <v>33</v>
      </c>
      <c r="J56" t="s">
        <v>29</v>
      </c>
    </row>
    <row r="57" spans="1:10" x14ac:dyDescent="0.45">
      <c r="A57" t="s">
        <v>7</v>
      </c>
      <c r="B57" t="s">
        <v>8</v>
      </c>
      <c r="C57">
        <v>1</v>
      </c>
      <c r="E57">
        <v>5</v>
      </c>
      <c r="H57" t="s">
        <v>33</v>
      </c>
      <c r="J57" t="s">
        <v>29</v>
      </c>
    </row>
    <row r="58" spans="1:10" x14ac:dyDescent="0.45">
      <c r="A58" t="s">
        <v>7</v>
      </c>
      <c r="B58" t="s">
        <v>8</v>
      </c>
      <c r="C58">
        <v>1</v>
      </c>
      <c r="E58">
        <v>5</v>
      </c>
      <c r="H58" t="s">
        <v>29</v>
      </c>
      <c r="J58" t="s">
        <v>29</v>
      </c>
    </row>
    <row r="59" spans="1:10" x14ac:dyDescent="0.45">
      <c r="A59" t="s">
        <v>7</v>
      </c>
      <c r="B59" t="s">
        <v>8</v>
      </c>
      <c r="C59">
        <v>1</v>
      </c>
      <c r="E59">
        <v>5</v>
      </c>
      <c r="H59" t="s">
        <v>33</v>
      </c>
      <c r="J59" t="s">
        <v>29</v>
      </c>
    </row>
    <row r="60" spans="1:10" x14ac:dyDescent="0.45">
      <c r="A60" t="s">
        <v>7</v>
      </c>
      <c r="B60" t="s">
        <v>1</v>
      </c>
      <c r="C60">
        <v>1</v>
      </c>
      <c r="E60">
        <v>5</v>
      </c>
      <c r="H60" t="s">
        <v>36</v>
      </c>
      <c r="J60" t="s">
        <v>29</v>
      </c>
    </row>
    <row r="61" spans="1:10" x14ac:dyDescent="0.45">
      <c r="A61" t="s">
        <v>7</v>
      </c>
      <c r="B61" t="s">
        <v>1</v>
      </c>
      <c r="C61">
        <v>1</v>
      </c>
      <c r="E61">
        <v>3</v>
      </c>
      <c r="H61" t="s">
        <v>29</v>
      </c>
      <c r="J61" t="s">
        <v>29</v>
      </c>
    </row>
    <row r="62" spans="1:10" x14ac:dyDescent="0.45">
      <c r="A62" t="s">
        <v>7</v>
      </c>
      <c r="B62" t="s">
        <v>1</v>
      </c>
      <c r="C62">
        <v>2</v>
      </c>
      <c r="E62">
        <v>3</v>
      </c>
      <c r="H62" t="s">
        <v>33</v>
      </c>
      <c r="J62" t="s">
        <v>29</v>
      </c>
    </row>
    <row r="63" spans="1:10" x14ac:dyDescent="0.45">
      <c r="A63" t="s">
        <v>9</v>
      </c>
      <c r="B63" t="s">
        <v>8</v>
      </c>
      <c r="C63">
        <v>2</v>
      </c>
      <c r="E63">
        <v>5</v>
      </c>
      <c r="H63" t="s">
        <v>29</v>
      </c>
      <c r="J63" t="s">
        <v>29</v>
      </c>
    </row>
    <row r="64" spans="1:10" x14ac:dyDescent="0.45">
      <c r="A64" t="s">
        <v>9</v>
      </c>
      <c r="B64" t="s">
        <v>1</v>
      </c>
      <c r="C64">
        <v>1</v>
      </c>
      <c r="E64">
        <v>4</v>
      </c>
      <c r="H64" t="s">
        <v>29</v>
      </c>
      <c r="J64" t="s">
        <v>29</v>
      </c>
    </row>
    <row r="65" spans="1:10" x14ac:dyDescent="0.45">
      <c r="A65" t="s">
        <v>10</v>
      </c>
      <c r="B65" t="s">
        <v>1</v>
      </c>
      <c r="C65">
        <v>1</v>
      </c>
      <c r="E65">
        <v>3</v>
      </c>
      <c r="H65" t="s">
        <v>33</v>
      </c>
      <c r="J65" t="s">
        <v>29</v>
      </c>
    </row>
    <row r="66" spans="1:10" x14ac:dyDescent="0.45">
      <c r="A66" t="s">
        <v>7</v>
      </c>
      <c r="B66" t="s">
        <v>1</v>
      </c>
      <c r="C66">
        <v>2</v>
      </c>
      <c r="E66">
        <v>5</v>
      </c>
      <c r="H66" t="s">
        <v>33</v>
      </c>
      <c r="J66" t="s">
        <v>29</v>
      </c>
    </row>
    <row r="67" spans="1:10" x14ac:dyDescent="0.45">
      <c r="A67" t="s">
        <v>9</v>
      </c>
      <c r="B67" t="s">
        <v>1</v>
      </c>
      <c r="C67">
        <v>1</v>
      </c>
      <c r="E67">
        <v>4</v>
      </c>
      <c r="H67" t="s">
        <v>33</v>
      </c>
      <c r="J67" t="s">
        <v>29</v>
      </c>
    </row>
    <row r="68" spans="1:10" x14ac:dyDescent="0.45">
      <c r="A68" t="s">
        <v>9</v>
      </c>
      <c r="B68" t="s">
        <v>1</v>
      </c>
      <c r="C68">
        <v>3</v>
      </c>
      <c r="E68">
        <v>3</v>
      </c>
      <c r="H68" t="s">
        <v>33</v>
      </c>
      <c r="J68" t="s">
        <v>29</v>
      </c>
    </row>
    <row r="69" spans="1:10" x14ac:dyDescent="0.45">
      <c r="A69" t="s">
        <v>9</v>
      </c>
      <c r="B69" t="s">
        <v>1</v>
      </c>
      <c r="C69">
        <v>3</v>
      </c>
      <c r="E69">
        <v>3</v>
      </c>
      <c r="H69" t="s">
        <v>33</v>
      </c>
      <c r="J69" t="s">
        <v>29</v>
      </c>
    </row>
    <row r="70" spans="1:10" x14ac:dyDescent="0.45">
      <c r="A70" t="s">
        <v>9</v>
      </c>
      <c r="B70" t="s">
        <v>1</v>
      </c>
      <c r="C70">
        <v>3</v>
      </c>
      <c r="E70">
        <v>4</v>
      </c>
      <c r="H70" t="s">
        <v>29</v>
      </c>
      <c r="J70" t="s">
        <v>29</v>
      </c>
    </row>
    <row r="71" spans="1:10" x14ac:dyDescent="0.45">
      <c r="A71" t="s">
        <v>9</v>
      </c>
      <c r="B71" t="s">
        <v>8</v>
      </c>
      <c r="C71">
        <v>3</v>
      </c>
      <c r="E71">
        <v>4</v>
      </c>
      <c r="H71" t="s">
        <v>33</v>
      </c>
      <c r="J71" t="s">
        <v>29</v>
      </c>
    </row>
    <row r="72" spans="1:10" x14ac:dyDescent="0.45">
      <c r="A72" t="s">
        <v>0</v>
      </c>
      <c r="B72" t="s">
        <v>1</v>
      </c>
      <c r="C72">
        <v>2</v>
      </c>
      <c r="E72">
        <v>4</v>
      </c>
      <c r="H72" t="s">
        <v>33</v>
      </c>
      <c r="J72" t="s">
        <v>39</v>
      </c>
    </row>
    <row r="73" spans="1:10" x14ac:dyDescent="0.45">
      <c r="A73" t="s">
        <v>7</v>
      </c>
      <c r="B73" t="s">
        <v>1</v>
      </c>
      <c r="C73">
        <v>3</v>
      </c>
      <c r="E73">
        <v>3</v>
      </c>
      <c r="H73" t="s">
        <v>39</v>
      </c>
      <c r="J73" t="s">
        <v>39</v>
      </c>
    </row>
    <row r="74" spans="1:10" x14ac:dyDescent="0.45">
      <c r="A74" t="s">
        <v>7</v>
      </c>
      <c r="B74" t="s">
        <v>8</v>
      </c>
      <c r="C74">
        <v>4</v>
      </c>
      <c r="E74">
        <v>5</v>
      </c>
      <c r="H74" t="s">
        <v>5</v>
      </c>
      <c r="J74" t="s">
        <v>39</v>
      </c>
    </row>
    <row r="75" spans="1:10" x14ac:dyDescent="0.45">
      <c r="A75" t="s">
        <v>7</v>
      </c>
      <c r="B75" t="s">
        <v>8</v>
      </c>
      <c r="C75">
        <v>4</v>
      </c>
      <c r="E75">
        <v>5</v>
      </c>
      <c r="H75" t="s">
        <v>33</v>
      </c>
      <c r="J75" t="s">
        <v>39</v>
      </c>
    </row>
    <row r="76" spans="1:10" x14ac:dyDescent="0.45">
      <c r="A76" t="s">
        <v>0</v>
      </c>
      <c r="B76" t="s">
        <v>8</v>
      </c>
      <c r="C76">
        <v>4</v>
      </c>
      <c r="E76">
        <v>5</v>
      </c>
      <c r="H76" t="s">
        <v>39</v>
      </c>
      <c r="J76" t="s">
        <v>39</v>
      </c>
    </row>
    <row r="77" spans="1:10" x14ac:dyDescent="0.45">
      <c r="A77" t="s">
        <v>0</v>
      </c>
      <c r="B77" t="s">
        <v>8</v>
      </c>
      <c r="C77">
        <v>3</v>
      </c>
      <c r="E77">
        <v>4</v>
      </c>
      <c r="H77" t="s">
        <v>2</v>
      </c>
      <c r="J77" t="s">
        <v>39</v>
      </c>
    </row>
    <row r="78" spans="1:10" x14ac:dyDescent="0.45">
      <c r="A78" t="s">
        <v>0</v>
      </c>
      <c r="B78" t="s">
        <v>1</v>
      </c>
      <c r="C78">
        <v>4</v>
      </c>
      <c r="E78">
        <v>2</v>
      </c>
      <c r="H78" t="s">
        <v>39</v>
      </c>
      <c r="J78" t="s">
        <v>39</v>
      </c>
    </row>
    <row r="79" spans="1:10" x14ac:dyDescent="0.45">
      <c r="A79" t="s">
        <v>9</v>
      </c>
      <c r="B79" t="s">
        <v>1</v>
      </c>
      <c r="C79">
        <v>3</v>
      </c>
      <c r="E79">
        <v>5</v>
      </c>
      <c r="H79" t="s">
        <v>39</v>
      </c>
      <c r="J79" t="s">
        <v>39</v>
      </c>
    </row>
    <row r="80" spans="1:10" x14ac:dyDescent="0.45">
      <c r="A80" t="s">
        <v>9</v>
      </c>
      <c r="B80" t="s">
        <v>1</v>
      </c>
      <c r="C80">
        <v>2</v>
      </c>
      <c r="E80">
        <v>2</v>
      </c>
      <c r="H80" t="s">
        <v>39</v>
      </c>
      <c r="J80" t="s">
        <v>39</v>
      </c>
    </row>
    <row r="81" spans="1:10" x14ac:dyDescent="0.45">
      <c r="A81" t="s">
        <v>0</v>
      </c>
      <c r="B81" t="s">
        <v>1</v>
      </c>
      <c r="C81">
        <v>1</v>
      </c>
      <c r="E81">
        <v>4</v>
      </c>
      <c r="H81" t="s">
        <v>33</v>
      </c>
      <c r="J81" t="s">
        <v>39</v>
      </c>
    </row>
    <row r="82" spans="1:10" x14ac:dyDescent="0.45">
      <c r="A82" t="s">
        <v>0</v>
      </c>
      <c r="B82" t="s">
        <v>1</v>
      </c>
      <c r="C82">
        <v>4</v>
      </c>
      <c r="E82">
        <v>3</v>
      </c>
      <c r="H82" t="s">
        <v>11</v>
      </c>
      <c r="J82" t="s">
        <v>39</v>
      </c>
    </row>
    <row r="83" spans="1:10" x14ac:dyDescent="0.45">
      <c r="A83" t="s">
        <v>0</v>
      </c>
      <c r="B83" t="s">
        <v>1</v>
      </c>
      <c r="C83">
        <v>3</v>
      </c>
      <c r="E83">
        <v>2</v>
      </c>
      <c r="H83" t="s">
        <v>2</v>
      </c>
      <c r="J83" t="s">
        <v>39</v>
      </c>
    </row>
    <row r="84" spans="1:10" x14ac:dyDescent="0.45">
      <c r="A84" t="s">
        <v>0</v>
      </c>
      <c r="B84" t="s">
        <v>1</v>
      </c>
      <c r="C84">
        <v>2</v>
      </c>
      <c r="E84">
        <v>4</v>
      </c>
      <c r="H84" t="s">
        <v>33</v>
      </c>
      <c r="J84" t="s">
        <v>39</v>
      </c>
    </row>
    <row r="85" spans="1:10" x14ac:dyDescent="0.45">
      <c r="A85" t="s">
        <v>0</v>
      </c>
      <c r="B85" t="s">
        <v>1</v>
      </c>
      <c r="C85">
        <v>2</v>
      </c>
      <c r="E85">
        <v>3</v>
      </c>
      <c r="H85" t="s">
        <v>33</v>
      </c>
      <c r="J85" t="s">
        <v>39</v>
      </c>
    </row>
    <row r="86" spans="1:10" x14ac:dyDescent="0.45">
      <c r="A86" t="s">
        <v>9</v>
      </c>
      <c r="B86" t="s">
        <v>8</v>
      </c>
      <c r="C86">
        <v>2</v>
      </c>
      <c r="E86">
        <v>4</v>
      </c>
      <c r="H86" t="s">
        <v>39</v>
      </c>
      <c r="J86" t="s">
        <v>39</v>
      </c>
    </row>
    <row r="87" spans="1:10" x14ac:dyDescent="0.45">
      <c r="A87" t="s">
        <v>9</v>
      </c>
      <c r="B87" t="s">
        <v>8</v>
      </c>
      <c r="C87">
        <v>5</v>
      </c>
      <c r="E87">
        <v>4</v>
      </c>
      <c r="H87" t="s">
        <v>2</v>
      </c>
      <c r="J87" t="s">
        <v>39</v>
      </c>
    </row>
    <row r="88" spans="1:10" x14ac:dyDescent="0.45">
      <c r="A88" t="s">
        <v>0</v>
      </c>
      <c r="B88" t="s">
        <v>1</v>
      </c>
      <c r="C88">
        <v>1</v>
      </c>
      <c r="E88">
        <v>4</v>
      </c>
      <c r="H88" t="s">
        <v>33</v>
      </c>
      <c r="J88" t="s">
        <v>39</v>
      </c>
    </row>
    <row r="89" spans="1:10" x14ac:dyDescent="0.45">
      <c r="A89" t="s">
        <v>9</v>
      </c>
      <c r="B89" t="s">
        <v>8</v>
      </c>
      <c r="C89">
        <v>4</v>
      </c>
      <c r="E89">
        <v>1</v>
      </c>
      <c r="H89" t="s">
        <v>5</v>
      </c>
      <c r="J89" t="s">
        <v>39</v>
      </c>
    </row>
    <row r="90" spans="1:10" x14ac:dyDescent="0.45">
      <c r="A90" t="s">
        <v>9</v>
      </c>
      <c r="B90" t="s">
        <v>8</v>
      </c>
      <c r="C90">
        <v>3</v>
      </c>
      <c r="E90">
        <v>2</v>
      </c>
      <c r="H90" t="s">
        <v>5</v>
      </c>
      <c r="J90" t="s">
        <v>39</v>
      </c>
    </row>
    <row r="91" spans="1:10" x14ac:dyDescent="0.45">
      <c r="A91" t="s">
        <v>9</v>
      </c>
      <c r="B91" t="s">
        <v>1</v>
      </c>
      <c r="C91">
        <v>4</v>
      </c>
      <c r="E91">
        <v>1</v>
      </c>
      <c r="H91" t="s">
        <v>2</v>
      </c>
      <c r="J91" t="s">
        <v>39</v>
      </c>
    </row>
    <row r="92" spans="1:10" x14ac:dyDescent="0.45">
      <c r="A92" t="s">
        <v>9</v>
      </c>
      <c r="B92" t="s">
        <v>1</v>
      </c>
      <c r="C92">
        <v>5</v>
      </c>
      <c r="E92">
        <v>5</v>
      </c>
      <c r="H92" t="s">
        <v>39</v>
      </c>
      <c r="J92" t="s">
        <v>39</v>
      </c>
    </row>
    <row r="93" spans="1:10" x14ac:dyDescent="0.45">
      <c r="A93" t="s">
        <v>7</v>
      </c>
      <c r="B93" t="s">
        <v>8</v>
      </c>
      <c r="C93">
        <v>1</v>
      </c>
      <c r="E93">
        <v>5</v>
      </c>
      <c r="H93" t="s">
        <v>33</v>
      </c>
      <c r="J93" t="s">
        <v>39</v>
      </c>
    </row>
    <row r="94" spans="1:10" x14ac:dyDescent="0.45">
      <c r="A94" t="s">
        <v>9</v>
      </c>
      <c r="B94" t="s">
        <v>1</v>
      </c>
      <c r="C94">
        <v>3</v>
      </c>
      <c r="E94">
        <v>2</v>
      </c>
      <c r="H94" t="s">
        <v>5</v>
      </c>
      <c r="J94" t="s">
        <v>39</v>
      </c>
    </row>
    <row r="95" spans="1:10" x14ac:dyDescent="0.45">
      <c r="A95" t="s">
        <v>7</v>
      </c>
      <c r="B95" t="s">
        <v>1</v>
      </c>
      <c r="C95">
        <v>4</v>
      </c>
      <c r="E95">
        <v>3</v>
      </c>
      <c r="H95" t="s">
        <v>33</v>
      </c>
      <c r="J95" t="s">
        <v>39</v>
      </c>
    </row>
    <row r="96" spans="1:10" x14ac:dyDescent="0.45">
      <c r="A96" t="s">
        <v>35</v>
      </c>
      <c r="B96" t="s">
        <v>8</v>
      </c>
      <c r="C96">
        <v>2</v>
      </c>
      <c r="E96">
        <v>3</v>
      </c>
      <c r="H96" t="s">
        <v>29</v>
      </c>
      <c r="J96" t="s">
        <v>39</v>
      </c>
    </row>
    <row r="97" spans="1:10" x14ac:dyDescent="0.45">
      <c r="A97" t="s">
        <v>7</v>
      </c>
      <c r="B97" t="s">
        <v>8</v>
      </c>
      <c r="C97">
        <v>1</v>
      </c>
      <c r="E97">
        <v>5</v>
      </c>
      <c r="H97" t="s">
        <v>33</v>
      </c>
      <c r="J97" t="s">
        <v>39</v>
      </c>
    </row>
    <row r="98" spans="1:10" x14ac:dyDescent="0.45">
      <c r="A98" t="s">
        <v>7</v>
      </c>
      <c r="B98" t="s">
        <v>8</v>
      </c>
      <c r="C98">
        <v>2</v>
      </c>
      <c r="E98">
        <v>3</v>
      </c>
      <c r="H98" t="s">
        <v>29</v>
      </c>
      <c r="J98" t="s">
        <v>39</v>
      </c>
    </row>
    <row r="99" spans="1:10" x14ac:dyDescent="0.45">
      <c r="A99" t="s">
        <v>9</v>
      </c>
      <c r="B99" t="s">
        <v>8</v>
      </c>
      <c r="C99">
        <v>2</v>
      </c>
      <c r="E99">
        <v>3</v>
      </c>
      <c r="H99" t="s">
        <v>39</v>
      </c>
      <c r="J99" t="s">
        <v>39</v>
      </c>
    </row>
    <row r="100" spans="1:10" x14ac:dyDescent="0.45">
      <c r="A100" t="s">
        <v>10</v>
      </c>
      <c r="B100" t="s">
        <v>1</v>
      </c>
      <c r="C100">
        <v>1</v>
      </c>
      <c r="E100">
        <v>5</v>
      </c>
      <c r="H100" t="s">
        <v>33</v>
      </c>
      <c r="J100" t="s">
        <v>39</v>
      </c>
    </row>
    <row r="101" spans="1:10" x14ac:dyDescent="0.45">
      <c r="A101" t="s">
        <v>9</v>
      </c>
      <c r="B101" t="s">
        <v>1</v>
      </c>
      <c r="C101">
        <v>1</v>
      </c>
      <c r="E101">
        <v>2</v>
      </c>
      <c r="H101" t="s">
        <v>39</v>
      </c>
      <c r="J101" t="s">
        <v>39</v>
      </c>
    </row>
    <row r="102" spans="1:10" x14ac:dyDescent="0.45">
      <c r="A102" t="s">
        <v>9</v>
      </c>
      <c r="B102" t="s">
        <v>8</v>
      </c>
      <c r="C102">
        <v>2</v>
      </c>
      <c r="E102">
        <v>4</v>
      </c>
      <c r="H102" t="s">
        <v>33</v>
      </c>
      <c r="J102" t="s">
        <v>39</v>
      </c>
    </row>
    <row r="103" spans="1:10" x14ac:dyDescent="0.45">
      <c r="A103" t="s">
        <v>9</v>
      </c>
      <c r="B103" t="s">
        <v>8</v>
      </c>
      <c r="C103">
        <v>2</v>
      </c>
      <c r="E103">
        <v>1</v>
      </c>
      <c r="H103" t="s">
        <v>5</v>
      </c>
      <c r="J103" t="s">
        <v>39</v>
      </c>
    </row>
    <row r="104" spans="1:10" x14ac:dyDescent="0.45">
      <c r="A104" t="s">
        <v>9</v>
      </c>
      <c r="B104" t="s">
        <v>1</v>
      </c>
      <c r="C104">
        <v>1</v>
      </c>
      <c r="E104">
        <v>1</v>
      </c>
      <c r="H104" t="s">
        <v>11</v>
      </c>
      <c r="J104" t="s">
        <v>39</v>
      </c>
    </row>
    <row r="105" spans="1:10" x14ac:dyDescent="0.45">
      <c r="A105" t="s">
        <v>0</v>
      </c>
      <c r="B105" t="s">
        <v>1</v>
      </c>
      <c r="C105">
        <v>2</v>
      </c>
      <c r="E105">
        <v>4</v>
      </c>
      <c r="H105" t="s">
        <v>2</v>
      </c>
      <c r="J105" t="s">
        <v>39</v>
      </c>
    </row>
    <row r="106" spans="1:10" x14ac:dyDescent="0.45">
      <c r="A106" t="s">
        <v>9</v>
      </c>
      <c r="B106" t="s">
        <v>8</v>
      </c>
      <c r="C106">
        <v>4</v>
      </c>
      <c r="E106">
        <v>4</v>
      </c>
      <c r="H106" t="s">
        <v>5</v>
      </c>
      <c r="J106" t="s">
        <v>39</v>
      </c>
    </row>
    <row r="107" spans="1:10" x14ac:dyDescent="0.45">
      <c r="A107" t="s">
        <v>0</v>
      </c>
      <c r="B107" t="s">
        <v>1</v>
      </c>
      <c r="C107">
        <v>1</v>
      </c>
      <c r="E107">
        <v>3</v>
      </c>
      <c r="H107" t="s">
        <v>29</v>
      </c>
      <c r="J107" t="s">
        <v>39</v>
      </c>
    </row>
    <row r="108" spans="1:10" x14ac:dyDescent="0.45">
      <c r="A108" t="s">
        <v>0</v>
      </c>
      <c r="B108" t="s">
        <v>1</v>
      </c>
      <c r="C108">
        <v>5</v>
      </c>
      <c r="E108">
        <v>2</v>
      </c>
      <c r="H108" t="s">
        <v>11</v>
      </c>
      <c r="J108" t="s">
        <v>2</v>
      </c>
    </row>
    <row r="109" spans="1:10" x14ac:dyDescent="0.45">
      <c r="A109" t="s">
        <v>0</v>
      </c>
      <c r="B109" t="s">
        <v>8</v>
      </c>
      <c r="C109">
        <v>4</v>
      </c>
      <c r="E109">
        <v>5</v>
      </c>
      <c r="H109" t="s">
        <v>2</v>
      </c>
      <c r="J109" t="s">
        <v>2</v>
      </c>
    </row>
    <row r="110" spans="1:10" x14ac:dyDescent="0.45">
      <c r="A110" t="s">
        <v>0</v>
      </c>
      <c r="B110" t="s">
        <v>1</v>
      </c>
      <c r="C110">
        <v>2</v>
      </c>
      <c r="E110">
        <v>3</v>
      </c>
      <c r="H110" t="s">
        <v>2</v>
      </c>
      <c r="J110" t="s">
        <v>2</v>
      </c>
    </row>
    <row r="111" spans="1:10" x14ac:dyDescent="0.45">
      <c r="A111" t="s">
        <v>9</v>
      </c>
      <c r="B111" t="s">
        <v>1</v>
      </c>
      <c r="C111">
        <v>4</v>
      </c>
      <c r="E111">
        <v>4</v>
      </c>
      <c r="H111" t="s">
        <v>2</v>
      </c>
      <c r="J111" t="s">
        <v>2</v>
      </c>
    </row>
    <row r="112" spans="1:10" x14ac:dyDescent="0.45">
      <c r="A112" t="s">
        <v>7</v>
      </c>
      <c r="B112" t="s">
        <v>1</v>
      </c>
      <c r="C112">
        <v>4</v>
      </c>
      <c r="E112">
        <v>5</v>
      </c>
      <c r="H112" t="s">
        <v>2</v>
      </c>
      <c r="J112" t="s">
        <v>2</v>
      </c>
    </row>
    <row r="113" spans="1:10" x14ac:dyDescent="0.45">
      <c r="A113" t="s">
        <v>0</v>
      </c>
      <c r="B113" t="s">
        <v>1</v>
      </c>
      <c r="C113">
        <v>3</v>
      </c>
      <c r="E113">
        <v>5</v>
      </c>
      <c r="H113" t="s">
        <v>2</v>
      </c>
      <c r="J113" t="s">
        <v>2</v>
      </c>
    </row>
    <row r="114" spans="1:10" x14ac:dyDescent="0.45">
      <c r="A114" t="s">
        <v>9</v>
      </c>
      <c r="B114" t="s">
        <v>1</v>
      </c>
      <c r="C114">
        <v>3</v>
      </c>
      <c r="E114">
        <v>5</v>
      </c>
      <c r="H114" t="s">
        <v>2</v>
      </c>
      <c r="J114" t="s">
        <v>2</v>
      </c>
    </row>
    <row r="115" spans="1:10" x14ac:dyDescent="0.45">
      <c r="A115" t="s">
        <v>0</v>
      </c>
      <c r="B115" t="s">
        <v>1</v>
      </c>
      <c r="C115">
        <v>2</v>
      </c>
      <c r="E115">
        <v>2</v>
      </c>
      <c r="H115" t="s">
        <v>2</v>
      </c>
      <c r="J115" t="s">
        <v>2</v>
      </c>
    </row>
    <row r="116" spans="1:10" x14ac:dyDescent="0.45">
      <c r="A116" t="s">
        <v>0</v>
      </c>
      <c r="B116" t="s">
        <v>8</v>
      </c>
      <c r="C116">
        <v>3</v>
      </c>
      <c r="E116">
        <v>4</v>
      </c>
      <c r="H116" t="s">
        <v>2</v>
      </c>
      <c r="J116" t="s">
        <v>2</v>
      </c>
    </row>
    <row r="117" spans="1:10" x14ac:dyDescent="0.45">
      <c r="A117" t="s">
        <v>9</v>
      </c>
      <c r="B117" t="s">
        <v>8</v>
      </c>
      <c r="C117">
        <v>3</v>
      </c>
      <c r="E117">
        <v>4</v>
      </c>
      <c r="H117" t="s">
        <v>5</v>
      </c>
      <c r="J117" t="s">
        <v>2</v>
      </c>
    </row>
    <row r="118" spans="1:10" x14ac:dyDescent="0.45">
      <c r="A118" t="s">
        <v>9</v>
      </c>
      <c r="B118" t="s">
        <v>8</v>
      </c>
      <c r="C118">
        <v>4</v>
      </c>
      <c r="E118">
        <v>5</v>
      </c>
      <c r="H118" t="s">
        <v>2</v>
      </c>
      <c r="J118" t="s">
        <v>2</v>
      </c>
    </row>
    <row r="119" spans="1:10" x14ac:dyDescent="0.45">
      <c r="A119" t="s">
        <v>9</v>
      </c>
      <c r="B119" t="s">
        <v>8</v>
      </c>
      <c r="C119">
        <v>2</v>
      </c>
      <c r="E119">
        <v>4</v>
      </c>
      <c r="H119" t="s">
        <v>2</v>
      </c>
      <c r="J119" t="s">
        <v>2</v>
      </c>
    </row>
    <row r="120" spans="1:10" x14ac:dyDescent="0.45">
      <c r="A120" t="s">
        <v>0</v>
      </c>
      <c r="B120" t="s">
        <v>8</v>
      </c>
      <c r="C120">
        <v>3</v>
      </c>
      <c r="E120">
        <v>4</v>
      </c>
      <c r="H120" t="s">
        <v>34</v>
      </c>
      <c r="J120" t="s">
        <v>2</v>
      </c>
    </row>
    <row r="121" spans="1:10" x14ac:dyDescent="0.45">
      <c r="A121" t="s">
        <v>9</v>
      </c>
      <c r="B121" t="s">
        <v>8</v>
      </c>
      <c r="C121">
        <v>5</v>
      </c>
      <c r="E121">
        <v>5</v>
      </c>
      <c r="H121" t="s">
        <v>2</v>
      </c>
      <c r="J121" t="s">
        <v>2</v>
      </c>
    </row>
    <row r="122" spans="1:10" x14ac:dyDescent="0.45">
      <c r="A122" t="s">
        <v>9</v>
      </c>
      <c r="B122" t="s">
        <v>1</v>
      </c>
      <c r="C122">
        <v>3</v>
      </c>
      <c r="E122">
        <v>3</v>
      </c>
      <c r="H122" t="s">
        <v>2</v>
      </c>
      <c r="J122" t="s">
        <v>2</v>
      </c>
    </row>
    <row r="123" spans="1:10" x14ac:dyDescent="0.45">
      <c r="A123" t="s">
        <v>9</v>
      </c>
      <c r="B123" t="s">
        <v>1</v>
      </c>
      <c r="C123">
        <v>5</v>
      </c>
      <c r="E123">
        <v>5</v>
      </c>
      <c r="H123" t="s">
        <v>2</v>
      </c>
      <c r="J123" t="s">
        <v>2</v>
      </c>
    </row>
    <row r="124" spans="1:10" x14ac:dyDescent="0.45">
      <c r="A124" t="s">
        <v>7</v>
      </c>
      <c r="B124" t="s">
        <v>1</v>
      </c>
      <c r="C124">
        <v>1</v>
      </c>
      <c r="E124">
        <v>1</v>
      </c>
      <c r="H124" t="s">
        <v>11</v>
      </c>
      <c r="J124" t="s">
        <v>2</v>
      </c>
    </row>
    <row r="125" spans="1:10" x14ac:dyDescent="0.45">
      <c r="A125" t="s">
        <v>7</v>
      </c>
      <c r="B125" t="s">
        <v>1</v>
      </c>
      <c r="C125">
        <v>1</v>
      </c>
      <c r="E125">
        <v>5</v>
      </c>
      <c r="H125" t="s">
        <v>2</v>
      </c>
      <c r="J125" t="s">
        <v>2</v>
      </c>
    </row>
    <row r="126" spans="1:10" x14ac:dyDescent="0.45">
      <c r="A126" t="s">
        <v>7</v>
      </c>
      <c r="B126" t="s">
        <v>8</v>
      </c>
      <c r="C126">
        <v>1</v>
      </c>
      <c r="E126">
        <v>5</v>
      </c>
      <c r="H126" t="s">
        <v>2</v>
      </c>
      <c r="J126" t="s">
        <v>2</v>
      </c>
    </row>
    <row r="127" spans="1:10" x14ac:dyDescent="0.45">
      <c r="A127" t="s">
        <v>9</v>
      </c>
      <c r="B127" t="s">
        <v>8</v>
      </c>
      <c r="C127">
        <v>2</v>
      </c>
      <c r="E127">
        <v>5</v>
      </c>
      <c r="H127" t="s">
        <v>2</v>
      </c>
      <c r="J127" t="s">
        <v>2</v>
      </c>
    </row>
    <row r="128" spans="1:10" x14ac:dyDescent="0.45">
      <c r="A128" t="s">
        <v>0</v>
      </c>
      <c r="B128" t="s">
        <v>8</v>
      </c>
      <c r="C128">
        <v>1</v>
      </c>
      <c r="E128">
        <v>2</v>
      </c>
      <c r="H128" t="s">
        <v>5</v>
      </c>
      <c r="J128" t="s">
        <v>2</v>
      </c>
    </row>
    <row r="129" spans="1:10" x14ac:dyDescent="0.45">
      <c r="A129" t="s">
        <v>9</v>
      </c>
      <c r="B129" t="s">
        <v>8</v>
      </c>
      <c r="C129">
        <v>2</v>
      </c>
      <c r="E129">
        <v>3</v>
      </c>
      <c r="H129" t="s">
        <v>5</v>
      </c>
      <c r="J129" t="s">
        <v>2</v>
      </c>
    </row>
    <row r="130" spans="1:10" x14ac:dyDescent="0.45">
      <c r="A130" t="s">
        <v>9</v>
      </c>
      <c r="B130" t="s">
        <v>8</v>
      </c>
      <c r="C130">
        <v>1</v>
      </c>
      <c r="E130">
        <v>5</v>
      </c>
      <c r="H130" t="s">
        <v>2</v>
      </c>
      <c r="J130" t="s">
        <v>2</v>
      </c>
    </row>
    <row r="131" spans="1:10" x14ac:dyDescent="0.45">
      <c r="A131" t="s">
        <v>9</v>
      </c>
      <c r="B131" t="s">
        <v>1</v>
      </c>
      <c r="C131">
        <v>1</v>
      </c>
      <c r="E131">
        <v>1</v>
      </c>
      <c r="H131" t="s">
        <v>11</v>
      </c>
      <c r="J131" t="s">
        <v>2</v>
      </c>
    </row>
    <row r="132" spans="1:10" x14ac:dyDescent="0.45">
      <c r="A132" t="s">
        <v>9</v>
      </c>
      <c r="B132" t="s">
        <v>1</v>
      </c>
      <c r="C132">
        <v>3</v>
      </c>
      <c r="E132">
        <v>5</v>
      </c>
      <c r="H132" t="s">
        <v>2</v>
      </c>
      <c r="J132" t="s">
        <v>2</v>
      </c>
    </row>
    <row r="133" spans="1:10" x14ac:dyDescent="0.45">
      <c r="A133" t="s">
        <v>0</v>
      </c>
      <c r="B133" t="s">
        <v>8</v>
      </c>
      <c r="C133">
        <v>2</v>
      </c>
      <c r="E133">
        <v>4</v>
      </c>
      <c r="H133" t="s">
        <v>5</v>
      </c>
      <c r="J133" t="s">
        <v>2</v>
      </c>
    </row>
    <row r="134" spans="1:10" x14ac:dyDescent="0.45">
      <c r="A134" t="s">
        <v>9</v>
      </c>
      <c r="B134" t="s">
        <v>1</v>
      </c>
      <c r="C134">
        <v>3</v>
      </c>
      <c r="E134">
        <v>5</v>
      </c>
      <c r="H134" t="s">
        <v>2</v>
      </c>
      <c r="J134" t="s">
        <v>2</v>
      </c>
    </row>
    <row r="135" spans="1:10" x14ac:dyDescent="0.45">
      <c r="A135" t="s">
        <v>9</v>
      </c>
      <c r="B135" t="s">
        <v>1</v>
      </c>
      <c r="C135">
        <v>3</v>
      </c>
      <c r="E135">
        <v>5</v>
      </c>
      <c r="H135" t="s">
        <v>34</v>
      </c>
      <c r="J135" t="s">
        <v>2</v>
      </c>
    </row>
    <row r="136" spans="1:10" x14ac:dyDescent="0.45">
      <c r="A136" t="s">
        <v>9</v>
      </c>
      <c r="B136" t="s">
        <v>8</v>
      </c>
      <c r="C136">
        <v>1</v>
      </c>
      <c r="E136">
        <v>4</v>
      </c>
      <c r="H136" t="s">
        <v>5</v>
      </c>
      <c r="J136" t="s">
        <v>2</v>
      </c>
    </row>
    <row r="137" spans="1:10" x14ac:dyDescent="0.45">
      <c r="A137" t="s">
        <v>0</v>
      </c>
      <c r="B137" t="s">
        <v>8</v>
      </c>
      <c r="C137">
        <v>4</v>
      </c>
      <c r="E137">
        <v>5</v>
      </c>
      <c r="H137" t="s">
        <v>34</v>
      </c>
      <c r="J137" t="s">
        <v>2</v>
      </c>
    </row>
    <row r="138" spans="1:10" x14ac:dyDescent="0.45">
      <c r="A138" t="s">
        <v>7</v>
      </c>
      <c r="B138" t="s">
        <v>1</v>
      </c>
      <c r="C138">
        <v>3</v>
      </c>
      <c r="E138">
        <v>3</v>
      </c>
      <c r="H138" t="s">
        <v>33</v>
      </c>
      <c r="J138" t="s">
        <v>2</v>
      </c>
    </row>
    <row r="139" spans="1:10" x14ac:dyDescent="0.45">
      <c r="A139" t="s">
        <v>0</v>
      </c>
      <c r="B139" t="s">
        <v>1</v>
      </c>
      <c r="C139">
        <v>2</v>
      </c>
      <c r="E139">
        <v>4</v>
      </c>
      <c r="H139" t="s">
        <v>2</v>
      </c>
      <c r="J139" t="s">
        <v>2</v>
      </c>
    </row>
    <row r="140" spans="1:10" x14ac:dyDescent="0.45">
      <c r="A140" t="s">
        <v>0</v>
      </c>
      <c r="B140" t="s">
        <v>1</v>
      </c>
      <c r="C140">
        <v>3</v>
      </c>
      <c r="E140">
        <v>3</v>
      </c>
      <c r="H140" t="s">
        <v>34</v>
      </c>
      <c r="J140" t="s">
        <v>34</v>
      </c>
    </row>
    <row r="141" spans="1:10" x14ac:dyDescent="0.45">
      <c r="A141" t="s">
        <v>9</v>
      </c>
      <c r="B141" t="s">
        <v>8</v>
      </c>
      <c r="C141">
        <v>2</v>
      </c>
      <c r="E141">
        <v>4</v>
      </c>
      <c r="H141" t="s">
        <v>5</v>
      </c>
      <c r="J141" t="s">
        <v>34</v>
      </c>
    </row>
    <row r="142" spans="1:10" x14ac:dyDescent="0.45">
      <c r="A142" t="s">
        <v>9</v>
      </c>
      <c r="B142" t="s">
        <v>1</v>
      </c>
      <c r="C142">
        <v>3</v>
      </c>
      <c r="E142">
        <v>5</v>
      </c>
      <c r="H142" t="s">
        <v>34</v>
      </c>
      <c r="J142" t="s">
        <v>34</v>
      </c>
    </row>
    <row r="143" spans="1:10" x14ac:dyDescent="0.45">
      <c r="A143" t="s">
        <v>0</v>
      </c>
      <c r="B143" t="s">
        <v>1</v>
      </c>
      <c r="C143">
        <v>4</v>
      </c>
      <c r="E143">
        <v>4</v>
      </c>
      <c r="H143" t="s">
        <v>2</v>
      </c>
      <c r="J143" t="s">
        <v>34</v>
      </c>
    </row>
    <row r="144" spans="1:10" x14ac:dyDescent="0.45">
      <c r="A144" t="s">
        <v>0</v>
      </c>
      <c r="B144" t="s">
        <v>1</v>
      </c>
      <c r="C144">
        <v>4</v>
      </c>
      <c r="E144">
        <v>4</v>
      </c>
      <c r="H144" t="s">
        <v>2</v>
      </c>
      <c r="J144" t="s">
        <v>34</v>
      </c>
    </row>
    <row r="145" spans="1:10" x14ac:dyDescent="0.45">
      <c r="A145" t="s">
        <v>0</v>
      </c>
      <c r="B145" t="s">
        <v>1</v>
      </c>
      <c r="C145">
        <v>1</v>
      </c>
      <c r="E145">
        <v>4</v>
      </c>
      <c r="H145" t="s">
        <v>33</v>
      </c>
      <c r="J145" t="s">
        <v>34</v>
      </c>
    </row>
    <row r="146" spans="1:10" x14ac:dyDescent="0.45">
      <c r="A146" t="s">
        <v>9</v>
      </c>
      <c r="B146" t="s">
        <v>8</v>
      </c>
      <c r="C146">
        <v>2</v>
      </c>
      <c r="E146">
        <v>4</v>
      </c>
      <c r="H146" t="s">
        <v>34</v>
      </c>
      <c r="J146" t="s">
        <v>34</v>
      </c>
    </row>
    <row r="147" spans="1:10" x14ac:dyDescent="0.45">
      <c r="A147" t="s">
        <v>9</v>
      </c>
      <c r="B147" t="s">
        <v>8</v>
      </c>
      <c r="C147">
        <v>2</v>
      </c>
      <c r="E147">
        <v>5</v>
      </c>
      <c r="H147" t="s">
        <v>39</v>
      </c>
      <c r="J147" t="s">
        <v>34</v>
      </c>
    </row>
    <row r="148" spans="1:10" x14ac:dyDescent="0.45">
      <c r="A148" t="s">
        <v>7</v>
      </c>
      <c r="B148" t="s">
        <v>8</v>
      </c>
      <c r="C148">
        <v>3</v>
      </c>
      <c r="E148">
        <v>5</v>
      </c>
      <c r="H148" t="s">
        <v>2</v>
      </c>
      <c r="J148" t="s">
        <v>34</v>
      </c>
    </row>
    <row r="149" spans="1:10" x14ac:dyDescent="0.45">
      <c r="A149" t="s">
        <v>0</v>
      </c>
      <c r="B149" t="s">
        <v>1</v>
      </c>
      <c r="C149">
        <v>3</v>
      </c>
      <c r="E149">
        <v>4</v>
      </c>
      <c r="H149" t="s">
        <v>34</v>
      </c>
      <c r="J149" t="s">
        <v>34</v>
      </c>
    </row>
    <row r="150" spans="1:10" x14ac:dyDescent="0.45">
      <c r="A150" t="s">
        <v>9</v>
      </c>
      <c r="B150" t="s">
        <v>1</v>
      </c>
      <c r="C150">
        <v>5</v>
      </c>
      <c r="E150">
        <v>5</v>
      </c>
      <c r="H150" t="s">
        <v>34</v>
      </c>
      <c r="J150" t="s">
        <v>34</v>
      </c>
    </row>
    <row r="151" spans="1:10" x14ac:dyDescent="0.45">
      <c r="A151" t="s">
        <v>7</v>
      </c>
      <c r="B151" t="s">
        <v>8</v>
      </c>
      <c r="C151">
        <v>1</v>
      </c>
      <c r="E151">
        <v>1</v>
      </c>
      <c r="H151" t="s">
        <v>11</v>
      </c>
      <c r="J151" t="s">
        <v>34</v>
      </c>
    </row>
    <row r="152" spans="1:10" x14ac:dyDescent="0.45">
      <c r="A152" t="s">
        <v>35</v>
      </c>
      <c r="B152" t="s">
        <v>8</v>
      </c>
      <c r="C152">
        <v>2</v>
      </c>
      <c r="E152">
        <v>4</v>
      </c>
      <c r="H152" t="s">
        <v>33</v>
      </c>
      <c r="J152" t="s">
        <v>34</v>
      </c>
    </row>
    <row r="153" spans="1:10" x14ac:dyDescent="0.45">
      <c r="A153" t="s">
        <v>35</v>
      </c>
      <c r="B153" t="s">
        <v>8</v>
      </c>
      <c r="C153">
        <v>2</v>
      </c>
      <c r="E153">
        <v>4</v>
      </c>
      <c r="H153" t="s">
        <v>34</v>
      </c>
      <c r="J153" t="s">
        <v>34</v>
      </c>
    </row>
    <row r="154" spans="1:10" x14ac:dyDescent="0.45">
      <c r="A154" t="s">
        <v>7</v>
      </c>
      <c r="B154" t="s">
        <v>8</v>
      </c>
      <c r="C154">
        <v>1</v>
      </c>
      <c r="E154">
        <v>5</v>
      </c>
      <c r="H154" t="s">
        <v>34</v>
      </c>
      <c r="J154" t="s">
        <v>34</v>
      </c>
    </row>
    <row r="155" spans="1:10" x14ac:dyDescent="0.45">
      <c r="A155" t="s">
        <v>7</v>
      </c>
      <c r="B155" t="s">
        <v>8</v>
      </c>
      <c r="C155">
        <v>1</v>
      </c>
      <c r="E155">
        <v>5</v>
      </c>
      <c r="H155" t="s">
        <v>34</v>
      </c>
      <c r="J155" t="s">
        <v>34</v>
      </c>
    </row>
    <row r="156" spans="1:10" x14ac:dyDescent="0.45">
      <c r="A156" t="s">
        <v>7</v>
      </c>
      <c r="B156" t="s">
        <v>1</v>
      </c>
      <c r="C156">
        <v>1</v>
      </c>
      <c r="E156">
        <v>3</v>
      </c>
      <c r="H156" t="s">
        <v>34</v>
      </c>
      <c r="J156" t="s">
        <v>34</v>
      </c>
    </row>
    <row r="157" spans="1:10" x14ac:dyDescent="0.45">
      <c r="A157" t="s">
        <v>9</v>
      </c>
      <c r="B157" t="s">
        <v>8</v>
      </c>
      <c r="C157">
        <v>2</v>
      </c>
      <c r="E157">
        <v>4</v>
      </c>
      <c r="H157" t="s">
        <v>47</v>
      </c>
      <c r="J157" t="s">
        <v>34</v>
      </c>
    </row>
    <row r="158" spans="1:10" x14ac:dyDescent="0.45">
      <c r="A158" t="s">
        <v>9</v>
      </c>
      <c r="B158" t="s">
        <v>8</v>
      </c>
      <c r="C158">
        <v>1</v>
      </c>
      <c r="E158">
        <v>5</v>
      </c>
      <c r="H158" t="s">
        <v>33</v>
      </c>
      <c r="J158" t="s">
        <v>34</v>
      </c>
    </row>
    <row r="159" spans="1:10" x14ac:dyDescent="0.45">
      <c r="A159" t="s">
        <v>9</v>
      </c>
      <c r="B159" t="s">
        <v>1</v>
      </c>
      <c r="C159">
        <v>3</v>
      </c>
      <c r="E159">
        <v>5</v>
      </c>
      <c r="H159" t="s">
        <v>34</v>
      </c>
      <c r="J159" t="s">
        <v>34</v>
      </c>
    </row>
    <row r="160" spans="1:10" x14ac:dyDescent="0.45">
      <c r="A160" t="s">
        <v>9</v>
      </c>
      <c r="B160" t="s">
        <v>1</v>
      </c>
      <c r="C160">
        <v>3</v>
      </c>
      <c r="E160">
        <v>5</v>
      </c>
      <c r="H160" t="s">
        <v>34</v>
      </c>
      <c r="J160" t="s">
        <v>34</v>
      </c>
    </row>
    <row r="161" spans="1:10" x14ac:dyDescent="0.45">
      <c r="A161" t="s">
        <v>9</v>
      </c>
      <c r="B161" t="s">
        <v>8</v>
      </c>
      <c r="C161">
        <v>1</v>
      </c>
      <c r="E161">
        <v>2</v>
      </c>
      <c r="H161" t="s">
        <v>5</v>
      </c>
      <c r="J161" t="s">
        <v>34</v>
      </c>
    </row>
    <row r="162" spans="1:10" x14ac:dyDescent="0.45">
      <c r="A162" t="s">
        <v>9</v>
      </c>
      <c r="B162" t="s">
        <v>1</v>
      </c>
      <c r="C162">
        <v>2</v>
      </c>
      <c r="E162">
        <v>4</v>
      </c>
      <c r="H162" t="s">
        <v>5</v>
      </c>
      <c r="J162" t="s">
        <v>34</v>
      </c>
    </row>
    <row r="163" spans="1:10" x14ac:dyDescent="0.45">
      <c r="A163" t="s">
        <v>0</v>
      </c>
      <c r="B163" t="s">
        <v>8</v>
      </c>
      <c r="C163">
        <v>4</v>
      </c>
      <c r="E163">
        <v>3</v>
      </c>
      <c r="H163" t="s">
        <v>47</v>
      </c>
      <c r="J163" t="s">
        <v>34</v>
      </c>
    </row>
    <row r="164" spans="1:10" x14ac:dyDescent="0.45">
      <c r="A164" t="s">
        <v>0</v>
      </c>
      <c r="B164" t="s">
        <v>8</v>
      </c>
      <c r="C164">
        <v>2</v>
      </c>
      <c r="E164">
        <v>4</v>
      </c>
      <c r="H164" t="s">
        <v>39</v>
      </c>
      <c r="J164" t="s">
        <v>34</v>
      </c>
    </row>
    <row r="165" spans="1:10" x14ac:dyDescent="0.45">
      <c r="A165" t="s">
        <v>7</v>
      </c>
      <c r="B165" t="s">
        <v>1</v>
      </c>
      <c r="C165">
        <v>4</v>
      </c>
      <c r="E165">
        <v>3</v>
      </c>
      <c r="H165" t="s">
        <v>47</v>
      </c>
      <c r="J165" t="s">
        <v>34</v>
      </c>
    </row>
    <row r="166" spans="1:10" x14ac:dyDescent="0.45">
      <c r="A166" t="s">
        <v>9</v>
      </c>
      <c r="B166" t="s">
        <v>1</v>
      </c>
      <c r="C166">
        <v>3</v>
      </c>
      <c r="E166">
        <v>5</v>
      </c>
      <c r="H166" t="s">
        <v>39</v>
      </c>
      <c r="J166" t="s">
        <v>34</v>
      </c>
    </row>
    <row r="167" spans="1:10" x14ac:dyDescent="0.45">
      <c r="A167" t="s">
        <v>0</v>
      </c>
      <c r="B167" t="s">
        <v>1</v>
      </c>
      <c r="C167">
        <v>3</v>
      </c>
      <c r="E167">
        <v>3</v>
      </c>
      <c r="H167" t="s">
        <v>39</v>
      </c>
      <c r="J167" t="s">
        <v>34</v>
      </c>
    </row>
    <row r="168" spans="1:10" x14ac:dyDescent="0.45">
      <c r="A168" t="s">
        <v>9</v>
      </c>
      <c r="B168" t="s">
        <v>8</v>
      </c>
      <c r="C168">
        <v>2</v>
      </c>
      <c r="E168">
        <v>5</v>
      </c>
      <c r="H168" t="s">
        <v>47</v>
      </c>
      <c r="J168" t="s">
        <v>47</v>
      </c>
    </row>
    <row r="169" spans="1:10" x14ac:dyDescent="0.45">
      <c r="A169" t="s">
        <v>0</v>
      </c>
      <c r="B169" t="s">
        <v>8</v>
      </c>
      <c r="C169">
        <v>4</v>
      </c>
      <c r="E169">
        <v>1</v>
      </c>
      <c r="H169" t="s">
        <v>2</v>
      </c>
      <c r="J169" t="s">
        <v>47</v>
      </c>
    </row>
    <row r="170" spans="1:10" x14ac:dyDescent="0.45">
      <c r="A170" t="s">
        <v>9</v>
      </c>
      <c r="B170" t="s">
        <v>8</v>
      </c>
      <c r="C170">
        <v>2</v>
      </c>
      <c r="E170">
        <v>3</v>
      </c>
      <c r="H170" t="s">
        <v>39</v>
      </c>
      <c r="J170" t="s">
        <v>47</v>
      </c>
    </row>
    <row r="171" spans="1:10" x14ac:dyDescent="0.45">
      <c r="A171" t="s">
        <v>35</v>
      </c>
      <c r="B171" t="s">
        <v>1</v>
      </c>
      <c r="C171">
        <v>1</v>
      </c>
      <c r="E171">
        <v>5</v>
      </c>
      <c r="H171" t="s">
        <v>29</v>
      </c>
      <c r="J171" t="s">
        <v>47</v>
      </c>
    </row>
    <row r="172" spans="1:10" x14ac:dyDescent="0.45">
      <c r="A172" t="s">
        <v>9</v>
      </c>
      <c r="B172" t="s">
        <v>8</v>
      </c>
      <c r="C172">
        <v>2</v>
      </c>
      <c r="E172">
        <v>4</v>
      </c>
      <c r="H172" t="s">
        <v>39</v>
      </c>
      <c r="J172" t="s">
        <v>47</v>
      </c>
    </row>
    <row r="173" spans="1:10" x14ac:dyDescent="0.45">
      <c r="A173" t="s">
        <v>0</v>
      </c>
      <c r="B173" t="s">
        <v>1</v>
      </c>
      <c r="C173">
        <v>3</v>
      </c>
      <c r="E173">
        <v>1</v>
      </c>
      <c r="H173" t="s">
        <v>2</v>
      </c>
      <c r="J173" t="s">
        <v>47</v>
      </c>
    </row>
    <row r="174" spans="1:10" x14ac:dyDescent="0.45">
      <c r="A174" t="s">
        <v>0</v>
      </c>
      <c r="B174" t="s">
        <v>1</v>
      </c>
      <c r="C174">
        <v>3</v>
      </c>
      <c r="E174">
        <v>1</v>
      </c>
      <c r="H174" t="s">
        <v>2</v>
      </c>
      <c r="J174" t="s">
        <v>47</v>
      </c>
    </row>
    <row r="175" spans="1:10" x14ac:dyDescent="0.45">
      <c r="A175" t="s">
        <v>0</v>
      </c>
      <c r="B175" t="s">
        <v>1</v>
      </c>
      <c r="C175">
        <v>5</v>
      </c>
      <c r="E175">
        <v>4</v>
      </c>
      <c r="H175" t="s">
        <v>2</v>
      </c>
      <c r="J175" t="s">
        <v>47</v>
      </c>
    </row>
    <row r="176" spans="1:10" x14ac:dyDescent="0.45">
      <c r="A176" t="s">
        <v>9</v>
      </c>
      <c r="B176" t="s">
        <v>1</v>
      </c>
      <c r="C176">
        <v>5</v>
      </c>
      <c r="E176">
        <v>3</v>
      </c>
      <c r="H176" t="s">
        <v>47</v>
      </c>
      <c r="J176" t="s">
        <v>47</v>
      </c>
    </row>
    <row r="177" spans="1:10" x14ac:dyDescent="0.45">
      <c r="A177" t="s">
        <v>7</v>
      </c>
      <c r="B177" t="s">
        <v>8</v>
      </c>
      <c r="C177">
        <v>1</v>
      </c>
      <c r="E177">
        <v>5</v>
      </c>
      <c r="H177" t="s">
        <v>11</v>
      </c>
      <c r="J177" t="s">
        <v>47</v>
      </c>
    </row>
    <row r="178" spans="1:10" x14ac:dyDescent="0.45">
      <c r="A178" t="s">
        <v>7</v>
      </c>
      <c r="B178" t="s">
        <v>1</v>
      </c>
      <c r="C178">
        <v>3</v>
      </c>
      <c r="E178">
        <v>3</v>
      </c>
      <c r="H178" t="s">
        <v>39</v>
      </c>
      <c r="J178" t="s">
        <v>47</v>
      </c>
    </row>
    <row r="179" spans="1:10" x14ac:dyDescent="0.45">
      <c r="A179" t="s">
        <v>7</v>
      </c>
      <c r="B179" t="s">
        <v>8</v>
      </c>
      <c r="C179">
        <v>1</v>
      </c>
      <c r="E179">
        <v>2</v>
      </c>
      <c r="H179" t="s">
        <v>2</v>
      </c>
      <c r="J179" t="s">
        <v>47</v>
      </c>
    </row>
    <row r="180" spans="1:10" x14ac:dyDescent="0.45">
      <c r="A180" t="s">
        <v>7</v>
      </c>
      <c r="B180" t="s">
        <v>8</v>
      </c>
      <c r="C180">
        <v>1</v>
      </c>
      <c r="E180">
        <v>4</v>
      </c>
      <c r="H180" t="s">
        <v>2</v>
      </c>
      <c r="J180" t="s">
        <v>47</v>
      </c>
    </row>
    <row r="181" spans="1:10" x14ac:dyDescent="0.45">
      <c r="A181" t="s">
        <v>7</v>
      </c>
      <c r="B181" t="s">
        <v>8</v>
      </c>
      <c r="C181">
        <v>1</v>
      </c>
      <c r="E181">
        <v>5</v>
      </c>
      <c r="H181" t="s">
        <v>39</v>
      </c>
      <c r="J181" t="s">
        <v>47</v>
      </c>
    </row>
    <row r="182" spans="1:10" x14ac:dyDescent="0.45">
      <c r="A182" t="s">
        <v>7</v>
      </c>
      <c r="B182" t="s">
        <v>1</v>
      </c>
      <c r="C182">
        <v>1</v>
      </c>
      <c r="E182">
        <v>3</v>
      </c>
      <c r="H182" t="s">
        <v>2</v>
      </c>
      <c r="J182" t="s">
        <v>47</v>
      </c>
    </row>
    <row r="183" spans="1:10" x14ac:dyDescent="0.45">
      <c r="A183" t="s">
        <v>35</v>
      </c>
      <c r="B183" t="s">
        <v>1</v>
      </c>
      <c r="C183">
        <v>1</v>
      </c>
      <c r="E183">
        <v>2</v>
      </c>
      <c r="H183" t="s">
        <v>39</v>
      </c>
      <c r="J183" t="s">
        <v>47</v>
      </c>
    </row>
    <row r="184" spans="1:10" x14ac:dyDescent="0.45">
      <c r="A184" t="s">
        <v>0</v>
      </c>
      <c r="B184" t="s">
        <v>8</v>
      </c>
      <c r="C184">
        <v>1</v>
      </c>
      <c r="E184">
        <v>3</v>
      </c>
      <c r="H184" t="s">
        <v>2</v>
      </c>
      <c r="J184" t="s">
        <v>47</v>
      </c>
    </row>
    <row r="185" spans="1:10" x14ac:dyDescent="0.45">
      <c r="A185" t="s">
        <v>7</v>
      </c>
      <c r="B185" t="s">
        <v>8</v>
      </c>
      <c r="C185">
        <v>1</v>
      </c>
      <c r="E185">
        <v>3</v>
      </c>
      <c r="H185" t="s">
        <v>39</v>
      </c>
      <c r="J185" t="s">
        <v>47</v>
      </c>
    </row>
    <row r="186" spans="1:10" x14ac:dyDescent="0.45">
      <c r="A186" t="s">
        <v>10</v>
      </c>
      <c r="B186" t="s">
        <v>8</v>
      </c>
      <c r="C186">
        <v>4</v>
      </c>
      <c r="E186">
        <v>4</v>
      </c>
      <c r="H186" t="s">
        <v>29</v>
      </c>
      <c r="J186" t="s">
        <v>47</v>
      </c>
    </row>
    <row r="187" spans="1:10" x14ac:dyDescent="0.45">
      <c r="A187" t="s">
        <v>9</v>
      </c>
      <c r="B187" t="s">
        <v>51</v>
      </c>
      <c r="C187">
        <v>2</v>
      </c>
      <c r="E187">
        <v>3</v>
      </c>
      <c r="H187" t="s">
        <v>39</v>
      </c>
      <c r="J187" t="s">
        <v>47</v>
      </c>
    </row>
    <row r="188" spans="1:10" x14ac:dyDescent="0.45">
      <c r="A188" t="s">
        <v>10</v>
      </c>
      <c r="B188" t="s">
        <v>1</v>
      </c>
      <c r="C188">
        <v>2</v>
      </c>
      <c r="E188">
        <v>3</v>
      </c>
      <c r="H188" t="s">
        <v>29</v>
      </c>
      <c r="J188" t="s">
        <v>47</v>
      </c>
    </row>
    <row r="189" spans="1:10" x14ac:dyDescent="0.45">
      <c r="A189" t="s">
        <v>0</v>
      </c>
      <c r="B189" t="s">
        <v>1</v>
      </c>
      <c r="C189">
        <v>2</v>
      </c>
      <c r="E189">
        <v>3</v>
      </c>
      <c r="H189" t="s">
        <v>2</v>
      </c>
      <c r="J189" t="s">
        <v>47</v>
      </c>
    </row>
    <row r="190" spans="1:10" x14ac:dyDescent="0.45">
      <c r="A190" t="s">
        <v>0</v>
      </c>
      <c r="B190" t="s">
        <v>8</v>
      </c>
      <c r="C190">
        <v>3</v>
      </c>
      <c r="E190">
        <v>3</v>
      </c>
      <c r="H190" t="s">
        <v>2</v>
      </c>
      <c r="J190" t="s">
        <v>47</v>
      </c>
    </row>
    <row r="191" spans="1:10" x14ac:dyDescent="0.45">
      <c r="A191" t="s">
        <v>0</v>
      </c>
      <c r="B191" t="s">
        <v>8</v>
      </c>
      <c r="C191">
        <v>2</v>
      </c>
      <c r="E191">
        <v>5</v>
      </c>
      <c r="H191" t="s">
        <v>2</v>
      </c>
      <c r="J191" t="s">
        <v>47</v>
      </c>
    </row>
    <row r="192" spans="1:10" x14ac:dyDescent="0.45">
      <c r="A192" t="s">
        <v>0</v>
      </c>
      <c r="B192" t="s">
        <v>1</v>
      </c>
      <c r="C192">
        <v>3</v>
      </c>
      <c r="E192">
        <v>3</v>
      </c>
      <c r="H192" t="s">
        <v>2</v>
      </c>
      <c r="J192" t="s">
        <v>47</v>
      </c>
    </row>
    <row r="193" spans="1:10" x14ac:dyDescent="0.45">
      <c r="A193" t="s">
        <v>0</v>
      </c>
      <c r="B193" t="s">
        <v>8</v>
      </c>
      <c r="C193">
        <v>4</v>
      </c>
      <c r="E193">
        <v>5</v>
      </c>
      <c r="H193" t="s">
        <v>2</v>
      </c>
      <c r="J193" t="s">
        <v>47</v>
      </c>
    </row>
    <row r="194" spans="1:10" x14ac:dyDescent="0.45">
      <c r="A194" t="s">
        <v>0</v>
      </c>
      <c r="B194" t="s">
        <v>1</v>
      </c>
      <c r="C194">
        <v>1</v>
      </c>
      <c r="E194">
        <v>5</v>
      </c>
      <c r="H194" t="s">
        <v>2</v>
      </c>
      <c r="J194" t="s">
        <v>33</v>
      </c>
    </row>
    <row r="195" spans="1:10" x14ac:dyDescent="0.45">
      <c r="A195" t="s">
        <v>9</v>
      </c>
      <c r="B195" t="s">
        <v>1</v>
      </c>
      <c r="C195">
        <v>3</v>
      </c>
      <c r="E195">
        <v>5</v>
      </c>
      <c r="H195" t="s">
        <v>2</v>
      </c>
      <c r="J195" t="s">
        <v>33</v>
      </c>
    </row>
    <row r="196" spans="1:10" x14ac:dyDescent="0.45">
      <c r="A196" t="s">
        <v>9</v>
      </c>
      <c r="B196" t="s">
        <v>1</v>
      </c>
      <c r="C196">
        <v>3</v>
      </c>
      <c r="E196">
        <v>3</v>
      </c>
      <c r="H196" t="s">
        <v>2</v>
      </c>
      <c r="J196" t="s">
        <v>33</v>
      </c>
    </row>
    <row r="197" spans="1:10" x14ac:dyDescent="0.45">
      <c r="A197" t="s">
        <v>9</v>
      </c>
      <c r="B197" t="s">
        <v>8</v>
      </c>
      <c r="C197">
        <v>2</v>
      </c>
      <c r="E197">
        <v>4</v>
      </c>
      <c r="H197" t="s">
        <v>33</v>
      </c>
      <c r="J197" t="s">
        <v>33</v>
      </c>
    </row>
    <row r="198" spans="1:10" x14ac:dyDescent="0.45">
      <c r="A198" t="s">
        <v>9</v>
      </c>
      <c r="B198" t="s">
        <v>1</v>
      </c>
      <c r="C198">
        <v>1</v>
      </c>
      <c r="E198">
        <v>4</v>
      </c>
      <c r="H198" t="s">
        <v>33</v>
      </c>
      <c r="J198" t="s">
        <v>33</v>
      </c>
    </row>
    <row r="199" spans="1:10" x14ac:dyDescent="0.45">
      <c r="A199" t="s">
        <v>7</v>
      </c>
      <c r="B199" t="s">
        <v>1</v>
      </c>
      <c r="C199">
        <v>4</v>
      </c>
      <c r="E199">
        <v>5</v>
      </c>
      <c r="H199" t="s">
        <v>33</v>
      </c>
      <c r="J199" t="s">
        <v>33</v>
      </c>
    </row>
    <row r="200" spans="1:10" x14ac:dyDescent="0.45">
      <c r="A200" t="s">
        <v>0</v>
      </c>
      <c r="B200" t="s">
        <v>1</v>
      </c>
      <c r="C200">
        <v>3</v>
      </c>
      <c r="E200">
        <v>3</v>
      </c>
      <c r="H200" t="s">
        <v>2</v>
      </c>
      <c r="J200" t="s">
        <v>33</v>
      </c>
    </row>
    <row r="201" spans="1:10" x14ac:dyDescent="0.45">
      <c r="A201" t="s">
        <v>0</v>
      </c>
      <c r="B201" t="s">
        <v>1</v>
      </c>
      <c r="C201">
        <v>5</v>
      </c>
      <c r="E201">
        <v>4</v>
      </c>
      <c r="H201" t="s">
        <v>33</v>
      </c>
      <c r="J201" t="s">
        <v>33</v>
      </c>
    </row>
    <row r="202" spans="1:10" x14ac:dyDescent="0.45">
      <c r="A202" t="s">
        <v>0</v>
      </c>
      <c r="B202" t="s">
        <v>8</v>
      </c>
      <c r="C202">
        <v>2</v>
      </c>
      <c r="E202">
        <v>5</v>
      </c>
      <c r="H202" t="s">
        <v>2</v>
      </c>
      <c r="J202" t="s">
        <v>33</v>
      </c>
    </row>
    <row r="203" spans="1:10" x14ac:dyDescent="0.45">
      <c r="A203" t="s">
        <v>35</v>
      </c>
      <c r="B203" t="s">
        <v>1</v>
      </c>
      <c r="C203">
        <v>1</v>
      </c>
      <c r="E203">
        <v>5</v>
      </c>
      <c r="H203" t="s">
        <v>33</v>
      </c>
      <c r="J203" t="s">
        <v>33</v>
      </c>
    </row>
    <row r="204" spans="1:10" x14ac:dyDescent="0.45">
      <c r="A204" t="s">
        <v>9</v>
      </c>
      <c r="B204" t="s">
        <v>8</v>
      </c>
      <c r="C204">
        <v>2</v>
      </c>
      <c r="E204">
        <v>1</v>
      </c>
      <c r="H204" t="s">
        <v>2</v>
      </c>
      <c r="J204" t="s">
        <v>33</v>
      </c>
    </row>
    <row r="205" spans="1:10" x14ac:dyDescent="0.45">
      <c r="A205" t="s">
        <v>9</v>
      </c>
      <c r="B205" t="s">
        <v>1</v>
      </c>
      <c r="C205">
        <v>5</v>
      </c>
      <c r="E205">
        <v>4</v>
      </c>
      <c r="H205" t="s">
        <v>2</v>
      </c>
      <c r="J205" t="s">
        <v>33</v>
      </c>
    </row>
    <row r="206" spans="1:10" x14ac:dyDescent="0.45">
      <c r="A206" t="s">
        <v>7</v>
      </c>
      <c r="B206" t="s">
        <v>8</v>
      </c>
      <c r="C206">
        <v>1</v>
      </c>
      <c r="E206">
        <v>4</v>
      </c>
      <c r="H206" t="s">
        <v>33</v>
      </c>
      <c r="J206" t="s">
        <v>33</v>
      </c>
    </row>
    <row r="207" spans="1:10" x14ac:dyDescent="0.45">
      <c r="A207" t="s">
        <v>7</v>
      </c>
      <c r="B207" t="s">
        <v>8</v>
      </c>
      <c r="C207">
        <v>1</v>
      </c>
      <c r="E207">
        <v>5</v>
      </c>
      <c r="H207" t="s">
        <v>33</v>
      </c>
      <c r="J207" t="s">
        <v>33</v>
      </c>
    </row>
    <row r="208" spans="1:10" x14ac:dyDescent="0.45">
      <c r="A208" t="s">
        <v>35</v>
      </c>
      <c r="B208" t="s">
        <v>1</v>
      </c>
      <c r="C208">
        <v>1</v>
      </c>
      <c r="E208">
        <v>4</v>
      </c>
      <c r="H208" t="s">
        <v>33</v>
      </c>
      <c r="J208" t="s">
        <v>33</v>
      </c>
    </row>
    <row r="209" spans="1:10" x14ac:dyDescent="0.45">
      <c r="A209" t="s">
        <v>35</v>
      </c>
      <c r="B209" t="s">
        <v>8</v>
      </c>
      <c r="C209">
        <v>2</v>
      </c>
      <c r="E209">
        <v>5</v>
      </c>
      <c r="H209" t="s">
        <v>33</v>
      </c>
      <c r="J209" t="s">
        <v>33</v>
      </c>
    </row>
    <row r="210" spans="1:10" x14ac:dyDescent="0.45">
      <c r="A210" t="s">
        <v>35</v>
      </c>
      <c r="B210" t="s">
        <v>8</v>
      </c>
      <c r="C210">
        <v>2</v>
      </c>
      <c r="E210">
        <v>3</v>
      </c>
      <c r="H210" t="s">
        <v>2</v>
      </c>
      <c r="J210" t="s">
        <v>33</v>
      </c>
    </row>
    <row r="211" spans="1:10" x14ac:dyDescent="0.45">
      <c r="A211" t="s">
        <v>0</v>
      </c>
      <c r="B211" t="s">
        <v>1</v>
      </c>
      <c r="C211">
        <v>3</v>
      </c>
      <c r="E211">
        <v>4</v>
      </c>
      <c r="H211" t="s">
        <v>2</v>
      </c>
      <c r="J211" t="s">
        <v>33</v>
      </c>
    </row>
    <row r="212" spans="1:10" x14ac:dyDescent="0.45">
      <c r="A212" t="s">
        <v>55</v>
      </c>
      <c r="B212" t="s">
        <v>1</v>
      </c>
      <c r="C212">
        <v>1</v>
      </c>
      <c r="E212">
        <v>1</v>
      </c>
      <c r="H212" t="s">
        <v>2</v>
      </c>
      <c r="J212" t="s">
        <v>33</v>
      </c>
    </row>
    <row r="213" spans="1:10" x14ac:dyDescent="0.45">
      <c r="A213" t="s">
        <v>7</v>
      </c>
      <c r="B213" t="s">
        <v>8</v>
      </c>
      <c r="C213">
        <v>1</v>
      </c>
      <c r="E213">
        <v>3</v>
      </c>
      <c r="H213" t="s">
        <v>2</v>
      </c>
      <c r="J213" t="s">
        <v>33</v>
      </c>
    </row>
    <row r="214" spans="1:10" x14ac:dyDescent="0.45">
      <c r="A214" t="s">
        <v>7</v>
      </c>
      <c r="B214" t="s">
        <v>1</v>
      </c>
      <c r="C214">
        <v>3</v>
      </c>
      <c r="E214">
        <v>4</v>
      </c>
      <c r="H214" t="s">
        <v>2</v>
      </c>
      <c r="J214" t="s">
        <v>33</v>
      </c>
    </row>
    <row r="215" spans="1:10" x14ac:dyDescent="0.45">
      <c r="A215" t="s">
        <v>7</v>
      </c>
      <c r="B215" t="s">
        <v>8</v>
      </c>
      <c r="C215">
        <v>3</v>
      </c>
      <c r="E215">
        <v>4</v>
      </c>
      <c r="H215" t="s">
        <v>33</v>
      </c>
      <c r="J215" t="s">
        <v>33</v>
      </c>
    </row>
    <row r="216" spans="1:10" x14ac:dyDescent="0.45">
      <c r="A216" t="s">
        <v>9</v>
      </c>
      <c r="B216" t="s">
        <v>1</v>
      </c>
      <c r="C216">
        <v>1</v>
      </c>
      <c r="E216">
        <v>2</v>
      </c>
      <c r="H216" t="s">
        <v>2</v>
      </c>
      <c r="J216" t="s">
        <v>33</v>
      </c>
    </row>
    <row r="217" spans="1:10" x14ac:dyDescent="0.45">
      <c r="A217" t="s">
        <v>7</v>
      </c>
      <c r="B217" t="s">
        <v>8</v>
      </c>
      <c r="C217">
        <v>1</v>
      </c>
      <c r="E217">
        <v>4</v>
      </c>
      <c r="H217" t="s">
        <v>2</v>
      </c>
      <c r="J217" t="s">
        <v>33</v>
      </c>
    </row>
    <row r="218" spans="1:10" x14ac:dyDescent="0.45">
      <c r="A218" t="s">
        <v>9</v>
      </c>
      <c r="B218" t="s">
        <v>8</v>
      </c>
      <c r="C218">
        <v>1</v>
      </c>
      <c r="E218">
        <v>4</v>
      </c>
      <c r="H218" t="s">
        <v>2</v>
      </c>
      <c r="J218" t="s">
        <v>33</v>
      </c>
    </row>
    <row r="219" spans="1:10" x14ac:dyDescent="0.45">
      <c r="A219" t="s">
        <v>7</v>
      </c>
      <c r="B219" t="s">
        <v>1</v>
      </c>
      <c r="C219">
        <v>2</v>
      </c>
      <c r="E219">
        <v>4</v>
      </c>
      <c r="H219" t="s">
        <v>2</v>
      </c>
      <c r="J219" t="s">
        <v>33</v>
      </c>
    </row>
    <row r="220" spans="1:10" x14ac:dyDescent="0.45">
      <c r="A220" t="s">
        <v>7</v>
      </c>
      <c r="B220" t="s">
        <v>1</v>
      </c>
      <c r="C220">
        <v>1</v>
      </c>
      <c r="E220">
        <v>4</v>
      </c>
      <c r="H220" t="s">
        <v>2</v>
      </c>
      <c r="J220" t="s">
        <v>33</v>
      </c>
    </row>
    <row r="221" spans="1:10" x14ac:dyDescent="0.45">
      <c r="A221" t="s">
        <v>9</v>
      </c>
      <c r="B221" t="s">
        <v>1</v>
      </c>
      <c r="C221">
        <v>1</v>
      </c>
      <c r="E221">
        <v>2</v>
      </c>
      <c r="H221" t="s">
        <v>2</v>
      </c>
      <c r="J221" t="s">
        <v>33</v>
      </c>
    </row>
    <row r="222" spans="1:10" x14ac:dyDescent="0.45">
      <c r="A222" t="s">
        <v>9</v>
      </c>
      <c r="B222" t="s">
        <v>1</v>
      </c>
      <c r="C222">
        <v>3</v>
      </c>
      <c r="E222">
        <v>4</v>
      </c>
      <c r="H222" t="s">
        <v>33</v>
      </c>
      <c r="J222" t="s">
        <v>33</v>
      </c>
    </row>
    <row r="224" spans="1:10" ht="14.65" thickBot="1" x14ac:dyDescent="0.5"/>
    <row r="225" spans="9:18" ht="14.65" thickBot="1" x14ac:dyDescent="0.5">
      <c r="K225" s="9" t="s">
        <v>68</v>
      </c>
      <c r="L225" s="7" t="s">
        <v>5</v>
      </c>
      <c r="M225" s="7" t="s">
        <v>29</v>
      </c>
      <c r="N225" s="7" t="s">
        <v>69</v>
      </c>
      <c r="O225" s="7" t="s">
        <v>2</v>
      </c>
      <c r="P225" s="7" t="s">
        <v>34</v>
      </c>
      <c r="Q225" s="7" t="s">
        <v>70</v>
      </c>
      <c r="R225" s="8" t="s">
        <v>33</v>
      </c>
    </row>
    <row r="226" spans="9:18" x14ac:dyDescent="0.45">
      <c r="K226" s="10" t="s">
        <v>5</v>
      </c>
      <c r="L226" s="3">
        <f>COUNTIFS($J$2:$J$222, "Anger", $H$2:$H$222, "Anger")
 /
COUNTIF($J$2:$J$222, "Anger")</f>
        <v>0.70588235294117652</v>
      </c>
      <c r="M226" s="3">
        <f>COUNTIFS($J$2:$J$222, "Anger", $H$2:$H$222, "Anticipation")
 /
COUNTIF($J$2:$J$222, "Anger")</f>
        <v>0</v>
      </c>
      <c r="N226" s="3">
        <f>COUNTIFS($J$2:$J$222, "Anger", $H$2:$H$222, "Disgust")
 /
COUNTIF($J$2:$J$222, "Anger")</f>
        <v>0</v>
      </c>
      <c r="O226" s="3">
        <f>COUNTIFS($J$2:$J$222, "Anger", $H$2:$H$222, "Fear")
 /
COUNTIF($J$2:$J$222, "Anger")</f>
        <v>0.26470588235294118</v>
      </c>
      <c r="P226" s="3">
        <f>COUNTIFS($J$2:$J$222, "Anger", $H$2:$H$222, "Joy")
 /
COUNTIF($J$2:$J$222, "Anger")</f>
        <v>0</v>
      </c>
      <c r="Q226" s="3">
        <f>COUNTIFS($J$2:$J$222, "Anger", $H$2:$H$222, "Sadness")
 /
COUNTIF($J$2:$J$222, "Anger")</f>
        <v>0</v>
      </c>
      <c r="R226" s="4">
        <f>COUNTIFS($J$2:$J$222, "Anger", $H$2:$H$222, "Surprise")
 /
COUNTIF($J$2:$J$222, "Anger")</f>
        <v>0</v>
      </c>
    </row>
    <row r="227" spans="9:18" x14ac:dyDescent="0.45">
      <c r="K227" s="10" t="s">
        <v>29</v>
      </c>
      <c r="L227" s="3">
        <f>COUNTIFS($J$2:$J$222, "Anticipation", $H$2:$H$222, "Anger")
 /
COUNTIF($J$2:$J$222, "Anticipation")</f>
        <v>0</v>
      </c>
      <c r="M227" s="3">
        <f>COUNTIFS($J$2:$J$222, "Anticipation", $H$2:$H$222, "Anticipation")
 /
COUNTIF($J$2:$J$222, "Anticipation")</f>
        <v>0.33333333333333331</v>
      </c>
      <c r="N227" s="3">
        <f>COUNTIFS($J$2:$J$222, "Anticipation", $H$2:$H$222, "Disgust")
 /
COUNTIF($J$2:$J$222, "Anticipation")</f>
        <v>0</v>
      </c>
      <c r="O227" s="3">
        <f>COUNTIFS($J$2:$J$222, "Anticipation", $H$2:$H$222, "Fear")
 /
COUNTIF($J$2:$J$222, "Anticipation")</f>
        <v>0</v>
      </c>
      <c r="P227" s="3">
        <f>COUNTIFS($J$2:$J$222, "Anticipation", $H$2:$H$222, "Joy")
 /
COUNTIF($J$2:$J$222, "Anticipation")</f>
        <v>2.7777777777777776E-2</v>
      </c>
      <c r="Q227" s="3">
        <f>COUNTIFS($J$2:$J$222, "Anticipation", $H$2:$H$222, "Sadness")
 /
COUNTIF($J$2:$J$222, "Anticipation")</f>
        <v>0</v>
      </c>
      <c r="R227" s="4">
        <f>COUNTIFS($J$2:$J$222, "Anticipation", $H$2:$H$222, "Surprise")
 /
COUNTIF($J$2:$J$222, "Anticipation")</f>
        <v>0.58333333333333337</v>
      </c>
    </row>
    <row r="228" spans="9:18" x14ac:dyDescent="0.45">
      <c r="K228" s="10" t="s">
        <v>39</v>
      </c>
      <c r="L228" s="3">
        <f>COUNTIFS($J$2:$J$222, "Disgust", $H$2:$H$222, "Anger")
 /
COUNTIF($J$2:$J$222, "Disgust")</f>
        <v>0.16666666666666666</v>
      </c>
      <c r="M228" s="3">
        <f>COUNTIFS($J$2:$J$222, "Disgust", $H$2:$H$222, "Anticipation")
 /
COUNTIF($J$2:$J$222, "Disgust")</f>
        <v>8.3333333333333329E-2</v>
      </c>
      <c r="N228" s="3">
        <f>COUNTIFS($J$2:$J$222, "Disgust", $H$2:$H$222, "Disgust")
 /
COUNTIF($J$2:$J$222, "Disgust")</f>
        <v>0.25</v>
      </c>
      <c r="O228" s="3">
        <f>COUNTIFS($J$2:$J$222, "Disgust", $H$2:$H$222, "Fear")
 /
COUNTIF($J$2:$J$222, "Disgust")</f>
        <v>0.1388888888888889</v>
      </c>
      <c r="P228" s="3">
        <f>COUNTIFS($J$2:$J$222, "Disgust", $H$2:$H$222, "Joy")
 /
COUNTIF($J$2:$J$222, "Disgust")</f>
        <v>0</v>
      </c>
      <c r="Q228" s="3">
        <f>COUNTIFS($J$2:$J$222, "Disgust", $H$2:$H$222, "Sadness")
 /
COUNTIF($J$2:$J$222, "Disgust")</f>
        <v>0</v>
      </c>
      <c r="R228" s="4">
        <f>COUNTIFS($J$2:$J$222, "Disgust", $H$2:$H$222, "Surprise")
 /
COUNTIF($J$2:$J$222, "Disgust")</f>
        <v>0.30555555555555558</v>
      </c>
    </row>
    <row r="229" spans="9:18" x14ac:dyDescent="0.45">
      <c r="K229" s="10" t="s">
        <v>2</v>
      </c>
      <c r="L229" s="3">
        <f>COUNTIFS($J$2:$J$222, "Fear", $H$2:$H$222, "Anger")
 /
COUNTIF($J$2:$J$222, "Fear")</f>
        <v>0.15625</v>
      </c>
      <c r="M229" s="3">
        <f>COUNTIFS($J$2:$J$222, "Fear", $H$2:$H$222, "Anticipation")
 /
COUNTIF($J$2:$J$222, "Fear")</f>
        <v>0</v>
      </c>
      <c r="N229" s="3">
        <f>COUNTIFS($J$2:$J$222, "Fear", $H$2:$H$222, "Disgust")
 /
COUNTIF($J$2:$J$222, "Fear")</f>
        <v>0</v>
      </c>
      <c r="O229" s="3">
        <f>COUNTIFS($J$2:$J$222, "Fear", $H$2:$H$222, "Fear")
 /
COUNTIF($J$2:$J$222, "Fear")</f>
        <v>0.625</v>
      </c>
      <c r="P229" s="3">
        <f>COUNTIFS($J$2:$J$222, "Fear", $H$2:$H$222, "Joy")
 /
COUNTIF($J$2:$J$222, "Fear")</f>
        <v>9.375E-2</v>
      </c>
      <c r="Q229" s="3">
        <f>COUNTIFS($J$2:$J$222, "Fear", $H$2:$H$222, "Sadness")
 /
COUNTIF($J$2:$J$222, "Fear")</f>
        <v>0</v>
      </c>
      <c r="R229" s="4">
        <f>COUNTIFS($J$2:$J$222, "Fear", $H$2:$H$222, "Surprise")
 /
COUNTIF($J$2:$J$222, "Fear")</f>
        <v>3.125E-2</v>
      </c>
    </row>
    <row r="230" spans="9:18" x14ac:dyDescent="0.45">
      <c r="K230" s="10" t="s">
        <v>34</v>
      </c>
      <c r="L230" s="3">
        <f>COUNTIFS($J$2:$J$222, "Joy", $H$2:$H$222, "Anger")
 /
COUNTIF($J$2:$J$222, "Joy")</f>
        <v>0.10714285714285714</v>
      </c>
      <c r="M230" s="3">
        <f>COUNTIFS($J$2:$J$222, "Joy", $H$2:$H$222, "Anticipation")
 /
COUNTIF($J$2:$J$222, "Joy")</f>
        <v>0</v>
      </c>
      <c r="N230" s="3">
        <f>COUNTIFS($J$2:$J$222, "Joy", $H$2:$H$222, "Disgust")
 /
COUNTIF($J$2:$J$222, "Joy")</f>
        <v>0.14285714285714285</v>
      </c>
      <c r="O230" s="3">
        <f>COUNTIFS($J$2:$J$222, "Joy", $H$2:$H$222, "Fear")
 /
COUNTIF($J$2:$J$222, "Joy")</f>
        <v>0.10714285714285714</v>
      </c>
      <c r="P230" s="3">
        <f>COUNTIFS($J$2:$J$222, "Joy", $H$2:$H$222, "Joy")
 /
COUNTIF($J$2:$J$222, "Joy")</f>
        <v>0.39285714285714285</v>
      </c>
      <c r="Q230" s="3">
        <f>COUNTIFS($J$2:$J$222, "Joy", $H$2:$H$222, "Sadness")
 /
COUNTIF($J$2:$J$222, "Joy")</f>
        <v>0.10714285714285714</v>
      </c>
      <c r="R230" s="4">
        <f>COUNTIFS($J$2:$J$222, "Joy", $H$2:$H$222, "Surprise")
 /
COUNTIF($J$2:$J$222, "Joy")</f>
        <v>0.10714285714285714</v>
      </c>
    </row>
    <row r="231" spans="9:18" x14ac:dyDescent="0.45">
      <c r="K231" s="10" t="s">
        <v>47</v>
      </c>
      <c r="L231" s="3">
        <f>COUNTIFS($J$2:$J$222, "Sadness", $H$2:$H$222, "Anger")
 /
COUNTIF($J$2:$J$222, "Sadness")</f>
        <v>0</v>
      </c>
      <c r="M231" s="3">
        <f>COUNTIFS($J$2:$J$222, "Sadness", $H$2:$H$222, "Anticipation")
 /
COUNTIF($J$2:$J$222, "Sadness")</f>
        <v>0.11538461538461539</v>
      </c>
      <c r="N231" s="3">
        <f>COUNTIFS($J$2:$J$222, "Sadness", $H$2:$H$222, "Disgust")
 /
COUNTIF($J$2:$J$222, "Sadness")</f>
        <v>0.26923076923076922</v>
      </c>
      <c r="O231" s="3">
        <f>COUNTIFS($J$2:$J$222, "Sadness", $H$2:$H$222, "Fear")
 /
COUNTIF($J$2:$J$222, "Sadness")</f>
        <v>0.5</v>
      </c>
      <c r="P231" s="3">
        <f>COUNTIFS($J$2:$J$222, "Sadness", $H$2:$H$222, "Joy")
 /
COUNTIF($J$2:$J$222, "Sadness")</f>
        <v>0</v>
      </c>
      <c r="Q231" s="3">
        <f>COUNTIFS($J$2:$J$222, "Sadness", $H$2:$H$222, "Sadness")
 /
COUNTIF($J$2:$J$222, "Sadness")</f>
        <v>7.6923076923076927E-2</v>
      </c>
      <c r="R231" s="4">
        <f>COUNTIFS($J$2:$J$222, "Sadness", $H$2:$H$222, "Surprise")
 /
COUNTIF($J$2:$J$222, "Sadness")</f>
        <v>0</v>
      </c>
    </row>
    <row r="232" spans="9:18" ht="14.65" thickBot="1" x14ac:dyDescent="0.5">
      <c r="K232" s="11" t="s">
        <v>33</v>
      </c>
      <c r="L232" s="5">
        <f>COUNTIFS($J$2:$J$222, "Surprise", $H$2:$H$222, "Anger")
 /
COUNTIF($J$2:$J$222, "Surprise")</f>
        <v>0</v>
      </c>
      <c r="M232" s="5">
        <f>COUNTIFS($J$2:$J$222, "Surprise", $H$2:$H$222, "Anticipation")
 /
COUNTIF($J$2:$J$222, "Surprise")</f>
        <v>0</v>
      </c>
      <c r="N232" s="5">
        <f>COUNTIFS($J$2:$J$222, "Surprise", $H$2:$H$222, "Disgust")
 /
COUNTIF($J$2:$J$222, "Surprise")</f>
        <v>0</v>
      </c>
      <c r="O232" s="5">
        <f>COUNTIFS($J$2:$J$222, "Surprise", $H$2:$H$222, "Fear")
 /
COUNTIF($J$2:$J$222, "Surprise")</f>
        <v>0.62068965517241381</v>
      </c>
      <c r="P232" s="5">
        <f>COUNTIFS($J$2:$J$222, "Surprise", $H$2:$H$222, "Joy")
 /
COUNTIF($J$2:$J$222, "Surprise")</f>
        <v>0</v>
      </c>
      <c r="Q232" s="5">
        <f>COUNTIFS($J$2:$J$222, "Surprise", $H$2:$H$222, "Sadness")
 /
COUNTIF($J$2:$J$222, "Surprise")</f>
        <v>0</v>
      </c>
      <c r="R232" s="6">
        <f>COUNTIFS($J$2:$J$222, "Surprise", $H$2:$H$222, "Surprise")
 /
COUNTIF($J$2:$J$222, "Surprise")</f>
        <v>0.37931034482758619</v>
      </c>
    </row>
    <row r="235" spans="9:18" x14ac:dyDescent="0.45">
      <c r="I235" s="3"/>
      <c r="J235" s="3"/>
      <c r="K235" s="3"/>
    </row>
    <row r="236" spans="9:18" x14ac:dyDescent="0.45">
      <c r="I236" s="3"/>
      <c r="J236" s="3"/>
      <c r="K236" s="3"/>
    </row>
    <row r="237" spans="9:18" x14ac:dyDescent="0.45">
      <c r="I237" s="3"/>
      <c r="J237" s="3"/>
      <c r="K23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3C30-C922-4D54-94E9-6F22E0D65647}">
  <dimension ref="A1:M48"/>
  <sheetViews>
    <sheetView topLeftCell="A22" workbookViewId="0">
      <selection activeCell="H37" sqref="H37:M42"/>
    </sheetView>
  </sheetViews>
  <sheetFormatPr defaultRowHeight="14.25" x14ac:dyDescent="0.45"/>
  <cols>
    <col min="1" max="1" width="5.33203125" bestFit="1" customWidth="1"/>
    <col min="2" max="2" width="6.46484375" bestFit="1" customWidth="1"/>
    <col min="3" max="3" width="18.1328125" bestFit="1" customWidth="1"/>
    <col min="4" max="4" width="14.73046875" bestFit="1" customWidth="1"/>
    <col min="5" max="5" width="9.265625" bestFit="1" customWidth="1"/>
    <col min="6" max="8" width="16.86328125" bestFit="1" customWidth="1"/>
  </cols>
  <sheetData>
    <row r="1" spans="1:12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24</v>
      </c>
      <c r="L1" t="s">
        <v>25</v>
      </c>
    </row>
    <row r="2" spans="1:12" x14ac:dyDescent="0.45">
      <c r="A2" t="s">
        <v>0</v>
      </c>
      <c r="B2" t="s">
        <v>1</v>
      </c>
      <c r="C2">
        <v>1</v>
      </c>
      <c r="D2" t="s">
        <v>2</v>
      </c>
      <c r="E2">
        <v>5</v>
      </c>
      <c r="F2" t="s">
        <v>3</v>
      </c>
      <c r="G2" t="s">
        <v>3</v>
      </c>
      <c r="H2" t="s">
        <v>4</v>
      </c>
      <c r="I2">
        <f>IF(D2="Anger",1,0)</f>
        <v>0</v>
      </c>
      <c r="J2">
        <f>IF(ISNUMBER(SEARCH("Level 1",F2)),1,0)</f>
        <v>1</v>
      </c>
      <c r="K2">
        <f>IF(ISNUMBER(SEARCH("Level 2",G2)),1,0)</f>
        <v>0</v>
      </c>
      <c r="L2">
        <f>IF(ISNUMBER(SEARCH("Level 3",H2)),1,0)</f>
        <v>1</v>
      </c>
    </row>
    <row r="3" spans="1:12" x14ac:dyDescent="0.45">
      <c r="A3" t="s">
        <v>0</v>
      </c>
      <c r="B3" t="s">
        <v>1</v>
      </c>
      <c r="C3">
        <v>3</v>
      </c>
      <c r="D3" t="s">
        <v>5</v>
      </c>
      <c r="E3">
        <v>5</v>
      </c>
      <c r="F3" t="s">
        <v>4</v>
      </c>
      <c r="G3" t="s">
        <v>6</v>
      </c>
      <c r="H3" t="s">
        <v>4</v>
      </c>
      <c r="I3">
        <f t="shared" ref="I3:I35" si="0">IF(D3="Anger",1,0)</f>
        <v>1</v>
      </c>
      <c r="J3">
        <f t="shared" ref="J3:J35" si="1">IF(ISNUMBER(SEARCH("Level 1",F3)),1,0)</f>
        <v>0</v>
      </c>
      <c r="K3">
        <f t="shared" ref="K3:K35" si="2">IF(ISNUMBER(SEARCH("Level 2",G3)),1,0)</f>
        <v>1</v>
      </c>
      <c r="L3">
        <f t="shared" ref="L3:L35" si="3">IF(ISNUMBER(SEARCH("Level 3",H3)),1,0)</f>
        <v>1</v>
      </c>
    </row>
    <row r="4" spans="1:12" x14ac:dyDescent="0.45">
      <c r="A4" t="s">
        <v>0</v>
      </c>
      <c r="B4" t="s">
        <v>1</v>
      </c>
      <c r="C4">
        <v>2</v>
      </c>
      <c r="D4" t="s">
        <v>5</v>
      </c>
      <c r="E4">
        <v>4</v>
      </c>
      <c r="F4" t="s">
        <v>3</v>
      </c>
      <c r="G4" t="s">
        <v>6</v>
      </c>
      <c r="H4" t="s">
        <v>4</v>
      </c>
      <c r="I4">
        <f t="shared" si="0"/>
        <v>1</v>
      </c>
      <c r="J4">
        <f t="shared" si="1"/>
        <v>1</v>
      </c>
      <c r="K4">
        <f t="shared" si="2"/>
        <v>1</v>
      </c>
      <c r="L4">
        <f t="shared" si="3"/>
        <v>1</v>
      </c>
    </row>
    <row r="5" spans="1:12" x14ac:dyDescent="0.45">
      <c r="A5" t="s">
        <v>0</v>
      </c>
      <c r="B5" t="s">
        <v>1</v>
      </c>
      <c r="C5">
        <v>2</v>
      </c>
      <c r="D5" t="s">
        <v>2</v>
      </c>
      <c r="E5">
        <v>4</v>
      </c>
      <c r="F5" t="s">
        <v>6</v>
      </c>
      <c r="G5" t="s">
        <v>3</v>
      </c>
      <c r="H5" t="s">
        <v>4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1</v>
      </c>
    </row>
    <row r="6" spans="1:12" x14ac:dyDescent="0.45">
      <c r="A6" t="s">
        <v>7</v>
      </c>
      <c r="B6" t="s">
        <v>8</v>
      </c>
      <c r="C6">
        <v>4</v>
      </c>
      <c r="D6" t="s">
        <v>5</v>
      </c>
      <c r="E6">
        <v>5</v>
      </c>
      <c r="F6" t="s">
        <v>3</v>
      </c>
      <c r="G6" t="s">
        <v>3</v>
      </c>
      <c r="H6" t="s">
        <v>4</v>
      </c>
      <c r="I6">
        <f t="shared" si="0"/>
        <v>1</v>
      </c>
      <c r="J6">
        <f t="shared" si="1"/>
        <v>1</v>
      </c>
      <c r="K6">
        <f t="shared" si="2"/>
        <v>0</v>
      </c>
      <c r="L6">
        <f t="shared" si="3"/>
        <v>1</v>
      </c>
    </row>
    <row r="7" spans="1:12" x14ac:dyDescent="0.45">
      <c r="A7" t="s">
        <v>0</v>
      </c>
      <c r="B7" t="s">
        <v>1</v>
      </c>
      <c r="C7">
        <v>3</v>
      </c>
      <c r="D7" t="s">
        <v>5</v>
      </c>
      <c r="E7">
        <v>4</v>
      </c>
      <c r="F7" t="s">
        <v>3</v>
      </c>
      <c r="G7" t="s">
        <v>3</v>
      </c>
      <c r="H7" t="s">
        <v>4</v>
      </c>
      <c r="I7">
        <f t="shared" si="0"/>
        <v>1</v>
      </c>
      <c r="J7">
        <f t="shared" si="1"/>
        <v>1</v>
      </c>
      <c r="K7">
        <f t="shared" si="2"/>
        <v>0</v>
      </c>
      <c r="L7">
        <f t="shared" si="3"/>
        <v>1</v>
      </c>
    </row>
    <row r="8" spans="1:12" x14ac:dyDescent="0.45">
      <c r="A8" t="s">
        <v>7</v>
      </c>
      <c r="B8" t="s">
        <v>1</v>
      </c>
      <c r="C8">
        <v>3</v>
      </c>
      <c r="D8" t="s">
        <v>5</v>
      </c>
      <c r="E8">
        <v>5</v>
      </c>
      <c r="F8" t="s">
        <v>3</v>
      </c>
      <c r="G8" t="s">
        <v>6</v>
      </c>
      <c r="H8" t="s">
        <v>4</v>
      </c>
      <c r="I8">
        <f t="shared" si="0"/>
        <v>1</v>
      </c>
      <c r="J8">
        <f t="shared" si="1"/>
        <v>1</v>
      </c>
      <c r="K8">
        <f t="shared" si="2"/>
        <v>1</v>
      </c>
      <c r="L8">
        <f t="shared" si="3"/>
        <v>1</v>
      </c>
    </row>
    <row r="9" spans="1:12" x14ac:dyDescent="0.45">
      <c r="A9" t="s">
        <v>0</v>
      </c>
      <c r="B9" t="s">
        <v>1</v>
      </c>
      <c r="C9">
        <v>2</v>
      </c>
      <c r="D9" t="s">
        <v>5</v>
      </c>
      <c r="E9">
        <v>5</v>
      </c>
      <c r="F9" t="s">
        <v>3</v>
      </c>
      <c r="G9" t="s">
        <v>3</v>
      </c>
      <c r="H9" t="s">
        <v>6</v>
      </c>
      <c r="I9">
        <f t="shared" si="0"/>
        <v>1</v>
      </c>
      <c r="J9">
        <f t="shared" si="1"/>
        <v>1</v>
      </c>
      <c r="K9">
        <f t="shared" si="2"/>
        <v>0</v>
      </c>
      <c r="L9">
        <f t="shared" si="3"/>
        <v>0</v>
      </c>
    </row>
    <row r="10" spans="1:12" x14ac:dyDescent="0.45">
      <c r="A10" t="s">
        <v>9</v>
      </c>
      <c r="B10" t="s">
        <v>1</v>
      </c>
      <c r="C10">
        <v>3</v>
      </c>
      <c r="D10" t="s">
        <v>5</v>
      </c>
      <c r="E10">
        <v>5</v>
      </c>
      <c r="F10" t="s">
        <v>3</v>
      </c>
      <c r="G10" t="s">
        <v>6</v>
      </c>
      <c r="H10" t="s">
        <v>4</v>
      </c>
      <c r="I10">
        <f t="shared" si="0"/>
        <v>1</v>
      </c>
      <c r="J10">
        <f t="shared" si="1"/>
        <v>1</v>
      </c>
      <c r="K10">
        <f t="shared" si="2"/>
        <v>1</v>
      </c>
      <c r="L10">
        <f t="shared" si="3"/>
        <v>1</v>
      </c>
    </row>
    <row r="11" spans="1:12" x14ac:dyDescent="0.45">
      <c r="A11" t="s">
        <v>0</v>
      </c>
      <c r="B11" t="s">
        <v>1</v>
      </c>
      <c r="C11">
        <v>4</v>
      </c>
      <c r="D11" t="s">
        <v>5</v>
      </c>
      <c r="E11">
        <v>5</v>
      </c>
      <c r="F11" t="s">
        <v>3</v>
      </c>
      <c r="G11" t="s">
        <v>3</v>
      </c>
      <c r="H11" t="s">
        <v>4</v>
      </c>
      <c r="I11">
        <f t="shared" si="0"/>
        <v>1</v>
      </c>
      <c r="J11">
        <f t="shared" si="1"/>
        <v>1</v>
      </c>
      <c r="K11">
        <f t="shared" si="2"/>
        <v>0</v>
      </c>
      <c r="L11">
        <f t="shared" si="3"/>
        <v>1</v>
      </c>
    </row>
    <row r="12" spans="1:12" x14ac:dyDescent="0.45">
      <c r="A12" t="s">
        <v>0</v>
      </c>
      <c r="B12" t="s">
        <v>8</v>
      </c>
      <c r="C12">
        <v>4</v>
      </c>
      <c r="D12" t="s">
        <v>2</v>
      </c>
      <c r="E12">
        <v>5</v>
      </c>
      <c r="F12" t="s">
        <v>3</v>
      </c>
      <c r="G12" t="s">
        <v>6</v>
      </c>
      <c r="H12" t="s">
        <v>4</v>
      </c>
      <c r="I12">
        <f t="shared" si="0"/>
        <v>0</v>
      </c>
      <c r="J12">
        <f t="shared" si="1"/>
        <v>1</v>
      </c>
      <c r="K12">
        <f t="shared" si="2"/>
        <v>1</v>
      </c>
      <c r="L12">
        <f t="shared" si="3"/>
        <v>1</v>
      </c>
    </row>
    <row r="13" spans="1:12" x14ac:dyDescent="0.45">
      <c r="A13" t="s">
        <v>10</v>
      </c>
      <c r="B13" t="s">
        <v>1</v>
      </c>
      <c r="C13">
        <v>5</v>
      </c>
      <c r="D13" t="s">
        <v>5</v>
      </c>
      <c r="E13">
        <v>5</v>
      </c>
      <c r="F13" t="s">
        <v>3</v>
      </c>
      <c r="G13" t="s">
        <v>3</v>
      </c>
      <c r="H13" t="s">
        <v>4</v>
      </c>
      <c r="I13">
        <f t="shared" si="0"/>
        <v>1</v>
      </c>
      <c r="J13">
        <f t="shared" si="1"/>
        <v>1</v>
      </c>
      <c r="K13">
        <f t="shared" si="2"/>
        <v>0</v>
      </c>
      <c r="L13">
        <f t="shared" si="3"/>
        <v>1</v>
      </c>
    </row>
    <row r="14" spans="1:12" x14ac:dyDescent="0.45">
      <c r="A14" t="s">
        <v>0</v>
      </c>
      <c r="B14" t="s">
        <v>8</v>
      </c>
      <c r="C14">
        <v>4</v>
      </c>
      <c r="D14" t="s">
        <v>5</v>
      </c>
      <c r="E14">
        <v>5</v>
      </c>
      <c r="F14" t="s">
        <v>3</v>
      </c>
      <c r="G14" t="s">
        <v>3</v>
      </c>
      <c r="H14" t="s">
        <v>4</v>
      </c>
      <c r="I14">
        <f t="shared" si="0"/>
        <v>1</v>
      </c>
      <c r="J14">
        <f t="shared" si="1"/>
        <v>1</v>
      </c>
      <c r="K14">
        <f t="shared" si="2"/>
        <v>0</v>
      </c>
      <c r="L14">
        <f t="shared" si="3"/>
        <v>1</v>
      </c>
    </row>
    <row r="15" spans="1:12" x14ac:dyDescent="0.45">
      <c r="A15" t="s">
        <v>9</v>
      </c>
      <c r="B15" t="s">
        <v>8</v>
      </c>
      <c r="C15">
        <v>1</v>
      </c>
      <c r="D15" t="s">
        <v>5</v>
      </c>
      <c r="E15">
        <v>5</v>
      </c>
      <c r="F15" t="s">
        <v>3</v>
      </c>
      <c r="G15" t="s">
        <v>6</v>
      </c>
      <c r="H15" t="s">
        <v>4</v>
      </c>
      <c r="I15">
        <f t="shared" si="0"/>
        <v>1</v>
      </c>
      <c r="J15">
        <f t="shared" si="1"/>
        <v>1</v>
      </c>
      <c r="K15">
        <f t="shared" si="2"/>
        <v>1</v>
      </c>
      <c r="L15">
        <f t="shared" si="3"/>
        <v>1</v>
      </c>
    </row>
    <row r="16" spans="1:12" x14ac:dyDescent="0.45">
      <c r="A16" t="s">
        <v>9</v>
      </c>
      <c r="B16" t="s">
        <v>8</v>
      </c>
      <c r="C16">
        <v>2</v>
      </c>
      <c r="D16" t="s">
        <v>5</v>
      </c>
      <c r="E16">
        <v>5</v>
      </c>
      <c r="F16" t="s">
        <v>3</v>
      </c>
      <c r="G16" t="s">
        <v>6</v>
      </c>
      <c r="H16" t="s">
        <v>4</v>
      </c>
      <c r="I16">
        <f t="shared" si="0"/>
        <v>1</v>
      </c>
      <c r="J16">
        <f t="shared" si="1"/>
        <v>1</v>
      </c>
      <c r="K16">
        <f t="shared" si="2"/>
        <v>1</v>
      </c>
      <c r="L16">
        <f t="shared" si="3"/>
        <v>1</v>
      </c>
    </row>
    <row r="17" spans="1:12" x14ac:dyDescent="0.45">
      <c r="A17" t="s">
        <v>0</v>
      </c>
      <c r="B17" t="s">
        <v>8</v>
      </c>
      <c r="C17">
        <v>1</v>
      </c>
      <c r="D17" t="s">
        <v>5</v>
      </c>
      <c r="E17">
        <v>4</v>
      </c>
      <c r="F17" t="s">
        <v>3</v>
      </c>
      <c r="G17" t="s">
        <v>6</v>
      </c>
      <c r="H17" t="s">
        <v>4</v>
      </c>
      <c r="I17">
        <f t="shared" si="0"/>
        <v>1</v>
      </c>
      <c r="J17">
        <f t="shared" si="1"/>
        <v>1</v>
      </c>
      <c r="K17">
        <f t="shared" si="2"/>
        <v>1</v>
      </c>
      <c r="L17">
        <f t="shared" si="3"/>
        <v>1</v>
      </c>
    </row>
    <row r="18" spans="1:12" x14ac:dyDescent="0.45">
      <c r="A18" t="s">
        <v>0</v>
      </c>
      <c r="B18" t="s">
        <v>1</v>
      </c>
      <c r="C18">
        <v>1</v>
      </c>
      <c r="D18" t="s">
        <v>11</v>
      </c>
      <c r="E18">
        <v>3</v>
      </c>
      <c r="F18" t="s">
        <v>3</v>
      </c>
      <c r="G18" t="s">
        <v>3</v>
      </c>
      <c r="H18" t="s">
        <v>6</v>
      </c>
      <c r="I18">
        <f t="shared" si="0"/>
        <v>0</v>
      </c>
      <c r="J18">
        <f t="shared" si="1"/>
        <v>1</v>
      </c>
      <c r="K18">
        <f t="shared" si="2"/>
        <v>0</v>
      </c>
      <c r="L18">
        <f t="shared" si="3"/>
        <v>0</v>
      </c>
    </row>
    <row r="19" spans="1:12" x14ac:dyDescent="0.45">
      <c r="A19" t="s">
        <v>9</v>
      </c>
      <c r="B19" t="s">
        <v>1</v>
      </c>
      <c r="C19">
        <v>5</v>
      </c>
      <c r="D19" t="s">
        <v>5</v>
      </c>
      <c r="E19">
        <v>5</v>
      </c>
      <c r="F19" t="s">
        <v>3</v>
      </c>
      <c r="G19" t="s">
        <v>6</v>
      </c>
      <c r="H19" t="s">
        <v>4</v>
      </c>
      <c r="I19">
        <f t="shared" si="0"/>
        <v>1</v>
      </c>
      <c r="J19">
        <f t="shared" si="1"/>
        <v>1</v>
      </c>
      <c r="K19">
        <f t="shared" si="2"/>
        <v>1</v>
      </c>
      <c r="L19">
        <f t="shared" si="3"/>
        <v>1</v>
      </c>
    </row>
    <row r="20" spans="1:12" x14ac:dyDescent="0.45">
      <c r="A20" t="s">
        <v>0</v>
      </c>
      <c r="B20" t="s">
        <v>1</v>
      </c>
      <c r="C20">
        <v>3</v>
      </c>
      <c r="D20" t="s">
        <v>2</v>
      </c>
      <c r="E20">
        <v>5</v>
      </c>
      <c r="F20" t="s">
        <v>3</v>
      </c>
      <c r="G20" t="s">
        <v>3</v>
      </c>
      <c r="H20" t="s">
        <v>4</v>
      </c>
      <c r="I20">
        <f t="shared" si="0"/>
        <v>0</v>
      </c>
      <c r="J20">
        <f t="shared" si="1"/>
        <v>1</v>
      </c>
      <c r="K20">
        <f t="shared" si="2"/>
        <v>0</v>
      </c>
      <c r="L20">
        <f t="shared" si="3"/>
        <v>1</v>
      </c>
    </row>
    <row r="21" spans="1:12" x14ac:dyDescent="0.45">
      <c r="A21" t="s">
        <v>7</v>
      </c>
      <c r="B21" t="s">
        <v>8</v>
      </c>
      <c r="C21">
        <v>1</v>
      </c>
      <c r="D21" t="s">
        <v>2</v>
      </c>
      <c r="E21">
        <v>5</v>
      </c>
      <c r="F21" t="s">
        <v>3</v>
      </c>
      <c r="G21" t="s">
        <v>3</v>
      </c>
      <c r="H21" t="s">
        <v>4</v>
      </c>
      <c r="I21">
        <f t="shared" si="0"/>
        <v>0</v>
      </c>
      <c r="J21">
        <f t="shared" si="1"/>
        <v>1</v>
      </c>
      <c r="K21">
        <f t="shared" si="2"/>
        <v>0</v>
      </c>
      <c r="L21">
        <f t="shared" si="3"/>
        <v>1</v>
      </c>
    </row>
    <row r="22" spans="1:12" x14ac:dyDescent="0.45">
      <c r="A22" t="s">
        <v>7</v>
      </c>
      <c r="B22" t="s">
        <v>8</v>
      </c>
      <c r="C22">
        <v>1</v>
      </c>
      <c r="D22" t="s">
        <v>2</v>
      </c>
      <c r="E22">
        <v>4</v>
      </c>
      <c r="F22" t="s">
        <v>3</v>
      </c>
      <c r="G22" t="s">
        <v>6</v>
      </c>
      <c r="H22" t="s">
        <v>4</v>
      </c>
      <c r="I22">
        <f t="shared" si="0"/>
        <v>0</v>
      </c>
      <c r="J22">
        <f t="shared" si="1"/>
        <v>1</v>
      </c>
      <c r="K22">
        <f t="shared" si="2"/>
        <v>1</v>
      </c>
      <c r="L22">
        <f t="shared" si="3"/>
        <v>1</v>
      </c>
    </row>
    <row r="23" spans="1:12" x14ac:dyDescent="0.45">
      <c r="A23" t="s">
        <v>7</v>
      </c>
      <c r="B23" t="s">
        <v>8</v>
      </c>
      <c r="C23">
        <v>1</v>
      </c>
      <c r="D23" t="s">
        <v>5</v>
      </c>
      <c r="E23">
        <v>1</v>
      </c>
      <c r="F23" t="s">
        <v>3</v>
      </c>
      <c r="G23" t="s">
        <v>3</v>
      </c>
      <c r="H23" t="s">
        <v>4</v>
      </c>
      <c r="I23">
        <f t="shared" si="0"/>
        <v>1</v>
      </c>
      <c r="J23">
        <f t="shared" si="1"/>
        <v>1</v>
      </c>
      <c r="K23">
        <f t="shared" si="2"/>
        <v>0</v>
      </c>
      <c r="L23">
        <f t="shared" si="3"/>
        <v>1</v>
      </c>
    </row>
    <row r="24" spans="1:12" x14ac:dyDescent="0.45">
      <c r="A24" t="s">
        <v>7</v>
      </c>
      <c r="B24" t="s">
        <v>8</v>
      </c>
      <c r="C24">
        <v>1</v>
      </c>
      <c r="D24" t="s">
        <v>5</v>
      </c>
      <c r="E24">
        <v>1</v>
      </c>
      <c r="F24" t="s">
        <v>3</v>
      </c>
      <c r="G24" t="s">
        <v>6</v>
      </c>
      <c r="H24" t="s">
        <v>4</v>
      </c>
      <c r="I24">
        <f t="shared" si="0"/>
        <v>1</v>
      </c>
      <c r="J24">
        <f t="shared" si="1"/>
        <v>1</v>
      </c>
      <c r="K24">
        <f t="shared" si="2"/>
        <v>1</v>
      </c>
      <c r="L24">
        <f t="shared" si="3"/>
        <v>1</v>
      </c>
    </row>
    <row r="25" spans="1:12" x14ac:dyDescent="0.45">
      <c r="A25" t="s">
        <v>7</v>
      </c>
      <c r="B25" t="s">
        <v>1</v>
      </c>
      <c r="C25">
        <v>1</v>
      </c>
      <c r="D25" t="s">
        <v>2</v>
      </c>
      <c r="E25">
        <v>5</v>
      </c>
      <c r="F25" t="s">
        <v>3</v>
      </c>
      <c r="G25" t="s">
        <v>3</v>
      </c>
      <c r="H25" t="s">
        <v>4</v>
      </c>
      <c r="I25">
        <f t="shared" si="0"/>
        <v>0</v>
      </c>
      <c r="J25">
        <f t="shared" si="1"/>
        <v>1</v>
      </c>
      <c r="K25">
        <f t="shared" si="2"/>
        <v>0</v>
      </c>
      <c r="L25">
        <f t="shared" si="3"/>
        <v>1</v>
      </c>
    </row>
    <row r="26" spans="1:12" x14ac:dyDescent="0.45">
      <c r="A26" t="s">
        <v>9</v>
      </c>
      <c r="B26" t="s">
        <v>8</v>
      </c>
      <c r="C26">
        <v>2</v>
      </c>
      <c r="D26" t="s">
        <v>5</v>
      </c>
      <c r="E26">
        <v>4</v>
      </c>
      <c r="F26" t="s">
        <v>3</v>
      </c>
      <c r="G26" t="s">
        <v>3</v>
      </c>
      <c r="H26" t="s">
        <v>4</v>
      </c>
      <c r="I26">
        <f t="shared" si="0"/>
        <v>1</v>
      </c>
      <c r="J26">
        <f t="shared" si="1"/>
        <v>1</v>
      </c>
      <c r="K26">
        <f t="shared" si="2"/>
        <v>0</v>
      </c>
      <c r="L26">
        <f t="shared" si="3"/>
        <v>1</v>
      </c>
    </row>
    <row r="27" spans="1:12" x14ac:dyDescent="0.45">
      <c r="A27" t="s">
        <v>0</v>
      </c>
      <c r="B27" t="s">
        <v>8</v>
      </c>
      <c r="C27">
        <v>1</v>
      </c>
      <c r="D27" t="s">
        <v>5</v>
      </c>
      <c r="E27">
        <v>4</v>
      </c>
      <c r="F27" t="s">
        <v>3</v>
      </c>
      <c r="G27" t="s">
        <v>6</v>
      </c>
      <c r="H27" t="s">
        <v>4</v>
      </c>
      <c r="I27">
        <f t="shared" si="0"/>
        <v>1</v>
      </c>
      <c r="J27">
        <f t="shared" si="1"/>
        <v>1</v>
      </c>
      <c r="K27">
        <f t="shared" si="2"/>
        <v>1</v>
      </c>
      <c r="L27">
        <f t="shared" si="3"/>
        <v>1</v>
      </c>
    </row>
    <row r="28" spans="1:12" x14ac:dyDescent="0.45">
      <c r="A28" t="s">
        <v>0</v>
      </c>
      <c r="B28" t="s">
        <v>8</v>
      </c>
      <c r="C28">
        <v>1</v>
      </c>
      <c r="D28" t="s">
        <v>2</v>
      </c>
      <c r="E28">
        <v>3</v>
      </c>
      <c r="F28" t="s">
        <v>6</v>
      </c>
      <c r="G28" t="s">
        <v>3</v>
      </c>
      <c r="H28" t="s">
        <v>4</v>
      </c>
      <c r="I28">
        <f t="shared" si="0"/>
        <v>0</v>
      </c>
      <c r="J28">
        <f t="shared" si="1"/>
        <v>0</v>
      </c>
      <c r="K28">
        <f t="shared" si="2"/>
        <v>0</v>
      </c>
      <c r="L28">
        <f t="shared" si="3"/>
        <v>1</v>
      </c>
    </row>
    <row r="29" spans="1:12" x14ac:dyDescent="0.45">
      <c r="A29" t="s">
        <v>7</v>
      </c>
      <c r="B29" t="s">
        <v>8</v>
      </c>
      <c r="C29">
        <v>1</v>
      </c>
      <c r="D29" t="s">
        <v>5</v>
      </c>
      <c r="E29">
        <v>5</v>
      </c>
      <c r="F29" t="s">
        <v>3</v>
      </c>
      <c r="G29" t="s">
        <v>6</v>
      </c>
      <c r="H29" t="s">
        <v>4</v>
      </c>
      <c r="I29">
        <f t="shared" si="0"/>
        <v>1</v>
      </c>
      <c r="J29">
        <f t="shared" si="1"/>
        <v>1</v>
      </c>
      <c r="K29">
        <f t="shared" si="2"/>
        <v>1</v>
      </c>
      <c r="L29">
        <f t="shared" si="3"/>
        <v>1</v>
      </c>
    </row>
    <row r="30" spans="1:12" x14ac:dyDescent="0.45">
      <c r="A30" t="s">
        <v>7</v>
      </c>
      <c r="B30" t="s">
        <v>1</v>
      </c>
      <c r="C30">
        <v>2</v>
      </c>
      <c r="D30" t="s">
        <v>5</v>
      </c>
      <c r="E30">
        <v>5</v>
      </c>
      <c r="F30" t="s">
        <v>3</v>
      </c>
      <c r="G30" t="s">
        <v>3</v>
      </c>
      <c r="H30" t="s">
        <v>4</v>
      </c>
      <c r="I30">
        <f t="shared" si="0"/>
        <v>1</v>
      </c>
      <c r="J30">
        <f t="shared" si="1"/>
        <v>1</v>
      </c>
      <c r="K30">
        <f t="shared" si="2"/>
        <v>0</v>
      </c>
      <c r="L30">
        <f t="shared" si="3"/>
        <v>1</v>
      </c>
    </row>
    <row r="31" spans="1:12" x14ac:dyDescent="0.45">
      <c r="A31" t="s">
        <v>9</v>
      </c>
      <c r="B31" t="s">
        <v>1</v>
      </c>
      <c r="C31">
        <v>1</v>
      </c>
      <c r="D31" t="s">
        <v>2</v>
      </c>
      <c r="E31">
        <v>5</v>
      </c>
      <c r="F31" t="s">
        <v>3</v>
      </c>
      <c r="G31" t="s">
        <v>6</v>
      </c>
      <c r="H31" t="s">
        <v>4</v>
      </c>
      <c r="I31">
        <f t="shared" si="0"/>
        <v>0</v>
      </c>
      <c r="J31">
        <f t="shared" si="1"/>
        <v>1</v>
      </c>
      <c r="K31">
        <f t="shared" si="2"/>
        <v>1</v>
      </c>
      <c r="L31">
        <f t="shared" si="3"/>
        <v>1</v>
      </c>
    </row>
    <row r="32" spans="1:12" x14ac:dyDescent="0.45">
      <c r="A32" t="s">
        <v>9</v>
      </c>
      <c r="B32" t="s">
        <v>1</v>
      </c>
      <c r="C32">
        <v>3</v>
      </c>
      <c r="D32" t="s">
        <v>5</v>
      </c>
      <c r="E32">
        <v>5</v>
      </c>
      <c r="F32" t="s">
        <v>3</v>
      </c>
      <c r="G32" t="s">
        <v>6</v>
      </c>
      <c r="H32" t="s">
        <v>4</v>
      </c>
      <c r="I32">
        <f t="shared" si="0"/>
        <v>1</v>
      </c>
      <c r="J32">
        <f t="shared" si="1"/>
        <v>1</v>
      </c>
      <c r="K32">
        <f t="shared" si="2"/>
        <v>1</v>
      </c>
      <c r="L32">
        <f t="shared" si="3"/>
        <v>1</v>
      </c>
    </row>
    <row r="33" spans="1:13" x14ac:dyDescent="0.45">
      <c r="A33" t="s">
        <v>10</v>
      </c>
      <c r="B33" t="s">
        <v>1</v>
      </c>
      <c r="C33">
        <v>3</v>
      </c>
      <c r="D33" t="s">
        <v>5</v>
      </c>
      <c r="E33">
        <v>5</v>
      </c>
      <c r="F33" t="s">
        <v>6</v>
      </c>
      <c r="G33" t="s">
        <v>3</v>
      </c>
      <c r="H33" t="s">
        <v>4</v>
      </c>
      <c r="I33">
        <f t="shared" si="0"/>
        <v>1</v>
      </c>
      <c r="J33">
        <f t="shared" si="1"/>
        <v>0</v>
      </c>
      <c r="K33">
        <f t="shared" si="2"/>
        <v>0</v>
      </c>
      <c r="L33">
        <f t="shared" si="3"/>
        <v>1</v>
      </c>
    </row>
    <row r="34" spans="1:13" x14ac:dyDescent="0.45">
      <c r="A34" t="s">
        <v>9</v>
      </c>
      <c r="B34" t="s">
        <v>8</v>
      </c>
      <c r="C34">
        <v>3</v>
      </c>
      <c r="D34" t="s">
        <v>5</v>
      </c>
      <c r="E34">
        <v>5</v>
      </c>
      <c r="F34" t="s">
        <v>6</v>
      </c>
      <c r="G34" t="s">
        <v>3</v>
      </c>
      <c r="H34" t="s">
        <v>4</v>
      </c>
      <c r="I34">
        <f t="shared" si="0"/>
        <v>1</v>
      </c>
      <c r="J34">
        <f t="shared" si="1"/>
        <v>0</v>
      </c>
      <c r="K34">
        <f t="shared" si="2"/>
        <v>0</v>
      </c>
      <c r="L34">
        <f t="shared" si="3"/>
        <v>1</v>
      </c>
    </row>
    <row r="35" spans="1:13" x14ac:dyDescent="0.45">
      <c r="A35" t="s">
        <v>9</v>
      </c>
      <c r="B35" t="s">
        <v>1</v>
      </c>
      <c r="C35">
        <v>3</v>
      </c>
      <c r="D35" t="s">
        <v>5</v>
      </c>
      <c r="E35">
        <v>4</v>
      </c>
      <c r="F35" t="s">
        <v>3</v>
      </c>
      <c r="G35" t="s">
        <v>6</v>
      </c>
      <c r="H35" t="s">
        <v>4</v>
      </c>
      <c r="I35">
        <f t="shared" si="0"/>
        <v>1</v>
      </c>
      <c r="J35">
        <f t="shared" si="1"/>
        <v>1</v>
      </c>
      <c r="K35">
        <f t="shared" si="2"/>
        <v>1</v>
      </c>
      <c r="L35">
        <f t="shared" si="3"/>
        <v>1</v>
      </c>
    </row>
    <row r="37" spans="1:13" x14ac:dyDescent="0.45">
      <c r="H37" t="s">
        <v>21</v>
      </c>
      <c r="I37">
        <f>AVERAGE(I2:I35)</f>
        <v>0.70588235294117652</v>
      </c>
    </row>
    <row r="38" spans="1:13" x14ac:dyDescent="0.45">
      <c r="H38" t="s">
        <v>23</v>
      </c>
      <c r="J38">
        <f>AVERAGE(J2:J35)</f>
        <v>0.8529411764705882</v>
      </c>
      <c r="K38">
        <f t="shared" ref="K38:L38" si="4">AVERAGE(K2:K35)</f>
        <v>0.47058823529411764</v>
      </c>
      <c r="L38">
        <f t="shared" si="4"/>
        <v>0.94117647058823528</v>
      </c>
    </row>
    <row r="39" spans="1:13" x14ac:dyDescent="0.45">
      <c r="H39" t="s">
        <v>26</v>
      </c>
      <c r="M39">
        <f>AVERAGE(J2:L35)</f>
        <v>0.75490196078431371</v>
      </c>
    </row>
    <row r="41" spans="1:13" x14ac:dyDescent="0.45">
      <c r="H41" t="s">
        <v>27</v>
      </c>
      <c r="I41">
        <f>AVERAGE(E2:E35)</f>
        <v>4.4117647058823533</v>
      </c>
    </row>
    <row r="42" spans="1:13" x14ac:dyDescent="0.45">
      <c r="H42" t="s">
        <v>28</v>
      </c>
      <c r="I42">
        <f>_xlfn.STDEV.S(E2:E35)</f>
        <v>1.0478736639911679</v>
      </c>
    </row>
    <row r="44" spans="1:13" x14ac:dyDescent="0.45">
      <c r="G44" s="1"/>
      <c r="H44" s="1"/>
      <c r="I44" s="1"/>
      <c r="J44" s="1"/>
    </row>
    <row r="45" spans="1:13" x14ac:dyDescent="0.45">
      <c r="G45" s="2"/>
      <c r="H45" s="2"/>
      <c r="I45" s="2"/>
      <c r="J45" s="2"/>
    </row>
    <row r="46" spans="1:13" x14ac:dyDescent="0.45">
      <c r="G46" s="2"/>
      <c r="H46" s="2"/>
      <c r="I46" s="2"/>
      <c r="J46" s="2"/>
    </row>
    <row r="47" spans="1:13" x14ac:dyDescent="0.45">
      <c r="G47" s="2"/>
      <c r="H47" s="2"/>
      <c r="I47" s="2"/>
      <c r="J47" s="2"/>
    </row>
    <row r="48" spans="1:13" x14ac:dyDescent="0.45">
      <c r="G48" s="2"/>
      <c r="H48" s="2"/>
      <c r="I48" s="2"/>
      <c r="J4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D9FC-32AA-43A1-8B6B-E1518D6E7A30}">
  <dimension ref="A1:M43"/>
  <sheetViews>
    <sheetView topLeftCell="D11" workbookViewId="0">
      <selection activeCell="D1" sqref="A1:XFD36"/>
    </sheetView>
  </sheetViews>
  <sheetFormatPr defaultRowHeight="14.25" x14ac:dyDescent="0.45"/>
  <cols>
    <col min="1" max="1" width="5.33203125" bestFit="1" customWidth="1"/>
    <col min="2" max="2" width="6.46484375" bestFit="1" customWidth="1"/>
    <col min="3" max="3" width="18.1328125" bestFit="1" customWidth="1"/>
    <col min="4" max="4" width="17.9296875" bestFit="1" customWidth="1"/>
    <col min="6" max="6" width="20.59765625" bestFit="1" customWidth="1"/>
    <col min="7" max="7" width="17.46484375" bestFit="1" customWidth="1"/>
    <col min="8" max="8" width="20.59765625" bestFit="1" customWidth="1"/>
  </cols>
  <sheetData>
    <row r="1" spans="1:12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24</v>
      </c>
      <c r="L1" t="s">
        <v>25</v>
      </c>
    </row>
    <row r="2" spans="1:12" x14ac:dyDescent="0.45">
      <c r="A2" t="s">
        <v>0</v>
      </c>
      <c r="B2" t="s">
        <v>8</v>
      </c>
      <c r="C2">
        <v>2</v>
      </c>
      <c r="D2" t="s">
        <v>29</v>
      </c>
      <c r="E2">
        <v>3</v>
      </c>
      <c r="F2" t="s">
        <v>30</v>
      </c>
      <c r="G2" t="s">
        <v>31</v>
      </c>
      <c r="H2" t="s">
        <v>32</v>
      </c>
      <c r="I2">
        <f>IF(D2="Anticipation",1,0)</f>
        <v>1</v>
      </c>
      <c r="J2">
        <f>IF(ISNUMBER(SEARCH("Level 2",F2)),1,0)</f>
        <v>1</v>
      </c>
      <c r="K2">
        <f>IF(ISNUMBER(SEARCH("Level 3",G2)),1,0)</f>
        <v>1</v>
      </c>
      <c r="L2">
        <f>IF(ISNUMBER(SEARCH("Level 1",H2)),1,0)</f>
        <v>1</v>
      </c>
    </row>
    <row r="3" spans="1:12" x14ac:dyDescent="0.45">
      <c r="A3" t="s">
        <v>0</v>
      </c>
      <c r="B3" t="s">
        <v>8</v>
      </c>
      <c r="C3">
        <v>4</v>
      </c>
      <c r="D3" t="s">
        <v>29</v>
      </c>
      <c r="E3">
        <v>5</v>
      </c>
      <c r="F3" t="s">
        <v>30</v>
      </c>
      <c r="G3" t="s">
        <v>31</v>
      </c>
      <c r="H3" t="s">
        <v>32</v>
      </c>
      <c r="I3">
        <f t="shared" ref="I3:I36" si="0">IF(D3="Anticipation",1,0)</f>
        <v>1</v>
      </c>
      <c r="J3">
        <f t="shared" ref="J3:J36" si="1">IF(ISNUMBER(SEARCH("Level 2",F3)),1,0)</f>
        <v>1</v>
      </c>
      <c r="K3">
        <f t="shared" ref="K3:K36" si="2">IF(ISNUMBER(SEARCH("Level 3",G3)),1,0)</f>
        <v>1</v>
      </c>
      <c r="L3">
        <f t="shared" ref="L3:L36" si="3">IF(ISNUMBER(SEARCH("Level 1",H3)),1,0)</f>
        <v>1</v>
      </c>
    </row>
    <row r="4" spans="1:12" x14ac:dyDescent="0.45">
      <c r="A4" t="s">
        <v>7</v>
      </c>
      <c r="B4" t="s">
        <v>8</v>
      </c>
      <c r="C4">
        <v>4</v>
      </c>
      <c r="D4" t="s">
        <v>33</v>
      </c>
      <c r="E4">
        <v>5</v>
      </c>
      <c r="F4" t="s">
        <v>30</v>
      </c>
      <c r="G4" t="s">
        <v>31</v>
      </c>
      <c r="H4" t="s">
        <v>32</v>
      </c>
      <c r="I4">
        <f t="shared" si="0"/>
        <v>0</v>
      </c>
      <c r="J4">
        <f t="shared" si="1"/>
        <v>1</v>
      </c>
      <c r="K4">
        <f t="shared" si="2"/>
        <v>1</v>
      </c>
      <c r="L4">
        <f t="shared" si="3"/>
        <v>1</v>
      </c>
    </row>
    <row r="5" spans="1:12" x14ac:dyDescent="0.45">
      <c r="A5" t="s">
        <v>0</v>
      </c>
      <c r="B5" t="s">
        <v>1</v>
      </c>
      <c r="C5">
        <v>2</v>
      </c>
      <c r="D5" t="s">
        <v>29</v>
      </c>
      <c r="E5">
        <v>4</v>
      </c>
      <c r="F5" t="s">
        <v>30</v>
      </c>
      <c r="G5" t="s">
        <v>31</v>
      </c>
      <c r="H5" t="s">
        <v>32</v>
      </c>
      <c r="I5">
        <f t="shared" si="0"/>
        <v>1</v>
      </c>
      <c r="J5">
        <f t="shared" si="1"/>
        <v>1</v>
      </c>
      <c r="K5">
        <f t="shared" si="2"/>
        <v>1</v>
      </c>
      <c r="L5">
        <f t="shared" si="3"/>
        <v>1</v>
      </c>
    </row>
    <row r="6" spans="1:12" x14ac:dyDescent="0.45">
      <c r="A6" t="s">
        <v>7</v>
      </c>
      <c r="B6" t="s">
        <v>1</v>
      </c>
      <c r="C6">
        <v>3</v>
      </c>
      <c r="D6" t="s">
        <v>33</v>
      </c>
      <c r="E6">
        <v>4</v>
      </c>
      <c r="F6" t="s">
        <v>30</v>
      </c>
      <c r="G6" t="s">
        <v>31</v>
      </c>
      <c r="H6" t="s">
        <v>32</v>
      </c>
      <c r="I6">
        <f t="shared" si="0"/>
        <v>0</v>
      </c>
      <c r="J6">
        <f t="shared" si="1"/>
        <v>1</v>
      </c>
      <c r="K6">
        <f t="shared" si="2"/>
        <v>1</v>
      </c>
      <c r="L6">
        <f t="shared" si="3"/>
        <v>1</v>
      </c>
    </row>
    <row r="7" spans="1:12" x14ac:dyDescent="0.45">
      <c r="A7" t="s">
        <v>7</v>
      </c>
      <c r="B7" t="s">
        <v>1</v>
      </c>
      <c r="C7">
        <v>3</v>
      </c>
      <c r="D7" t="s">
        <v>29</v>
      </c>
      <c r="E7">
        <v>5</v>
      </c>
      <c r="F7" t="s">
        <v>30</v>
      </c>
      <c r="G7" t="s">
        <v>31</v>
      </c>
      <c r="H7" t="s">
        <v>32</v>
      </c>
      <c r="I7">
        <f t="shared" si="0"/>
        <v>1</v>
      </c>
      <c r="J7">
        <f t="shared" si="1"/>
        <v>1</v>
      </c>
      <c r="K7">
        <f t="shared" si="2"/>
        <v>1</v>
      </c>
      <c r="L7">
        <f t="shared" si="3"/>
        <v>1</v>
      </c>
    </row>
    <row r="8" spans="1:12" x14ac:dyDescent="0.45">
      <c r="A8" t="s">
        <v>9</v>
      </c>
      <c r="B8" t="s">
        <v>1</v>
      </c>
      <c r="C8">
        <v>3</v>
      </c>
      <c r="D8" t="s">
        <v>33</v>
      </c>
      <c r="E8">
        <v>5</v>
      </c>
      <c r="F8" t="s">
        <v>30</v>
      </c>
      <c r="G8" t="s">
        <v>31</v>
      </c>
      <c r="H8" t="s">
        <v>32</v>
      </c>
      <c r="I8">
        <f t="shared" si="0"/>
        <v>0</v>
      </c>
      <c r="J8">
        <f t="shared" si="1"/>
        <v>1</v>
      </c>
      <c r="K8">
        <f t="shared" si="2"/>
        <v>1</v>
      </c>
      <c r="L8">
        <f t="shared" si="3"/>
        <v>1</v>
      </c>
    </row>
    <row r="9" spans="1:12" x14ac:dyDescent="0.45">
      <c r="A9" t="s">
        <v>9</v>
      </c>
      <c r="B9" t="s">
        <v>1</v>
      </c>
      <c r="C9">
        <v>4</v>
      </c>
      <c r="D9" t="s">
        <v>33</v>
      </c>
      <c r="E9">
        <v>4</v>
      </c>
      <c r="F9" t="s">
        <v>30</v>
      </c>
      <c r="G9" t="s">
        <v>31</v>
      </c>
      <c r="H9" t="s">
        <v>32</v>
      </c>
      <c r="I9">
        <f t="shared" si="0"/>
        <v>0</v>
      </c>
      <c r="J9">
        <f t="shared" si="1"/>
        <v>1</v>
      </c>
      <c r="K9">
        <f t="shared" si="2"/>
        <v>1</v>
      </c>
      <c r="L9">
        <f t="shared" si="3"/>
        <v>1</v>
      </c>
    </row>
    <row r="10" spans="1:12" x14ac:dyDescent="0.45">
      <c r="A10" t="s">
        <v>0</v>
      </c>
      <c r="B10" t="s">
        <v>8</v>
      </c>
      <c r="C10">
        <v>4</v>
      </c>
      <c r="D10" t="s">
        <v>33</v>
      </c>
      <c r="E10">
        <v>3</v>
      </c>
      <c r="F10" t="s">
        <v>30</v>
      </c>
      <c r="G10" t="s">
        <v>31</v>
      </c>
      <c r="H10" t="s">
        <v>32</v>
      </c>
      <c r="I10">
        <f t="shared" si="0"/>
        <v>0</v>
      </c>
      <c r="J10">
        <f t="shared" si="1"/>
        <v>1</v>
      </c>
      <c r="K10">
        <f t="shared" si="2"/>
        <v>1</v>
      </c>
      <c r="L10">
        <f t="shared" si="3"/>
        <v>1</v>
      </c>
    </row>
    <row r="11" spans="1:12" x14ac:dyDescent="0.45">
      <c r="A11" t="s">
        <v>0</v>
      </c>
      <c r="B11" t="s">
        <v>1</v>
      </c>
      <c r="C11">
        <v>3</v>
      </c>
      <c r="D11" t="s">
        <v>33</v>
      </c>
      <c r="E11">
        <v>2</v>
      </c>
      <c r="F11" t="s">
        <v>31</v>
      </c>
      <c r="G11" t="s">
        <v>30</v>
      </c>
      <c r="H11" t="s">
        <v>32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1</v>
      </c>
    </row>
    <row r="12" spans="1:12" x14ac:dyDescent="0.45">
      <c r="A12" t="s">
        <v>9</v>
      </c>
      <c r="B12" t="s">
        <v>8</v>
      </c>
      <c r="C12">
        <v>2</v>
      </c>
      <c r="D12" t="s">
        <v>34</v>
      </c>
      <c r="E12">
        <v>2</v>
      </c>
      <c r="F12" t="s">
        <v>30</v>
      </c>
      <c r="G12" t="s">
        <v>30</v>
      </c>
      <c r="H12" t="s">
        <v>32</v>
      </c>
      <c r="I12">
        <f t="shared" si="0"/>
        <v>0</v>
      </c>
      <c r="J12">
        <f t="shared" si="1"/>
        <v>1</v>
      </c>
      <c r="K12">
        <f t="shared" si="2"/>
        <v>0</v>
      </c>
      <c r="L12">
        <f t="shared" si="3"/>
        <v>1</v>
      </c>
    </row>
    <row r="13" spans="1:12" x14ac:dyDescent="0.45">
      <c r="A13" t="s">
        <v>0</v>
      </c>
      <c r="B13" t="s">
        <v>1</v>
      </c>
      <c r="C13">
        <v>1</v>
      </c>
      <c r="D13" t="s">
        <v>33</v>
      </c>
      <c r="E13">
        <v>5</v>
      </c>
      <c r="F13" t="s">
        <v>30</v>
      </c>
      <c r="G13" t="s">
        <v>31</v>
      </c>
      <c r="H13" t="s">
        <v>32</v>
      </c>
      <c r="I13">
        <f t="shared" si="0"/>
        <v>0</v>
      </c>
      <c r="J13">
        <f t="shared" si="1"/>
        <v>1</v>
      </c>
      <c r="K13">
        <f t="shared" si="2"/>
        <v>1</v>
      </c>
      <c r="L13">
        <f t="shared" si="3"/>
        <v>1</v>
      </c>
    </row>
    <row r="14" spans="1:12" x14ac:dyDescent="0.45">
      <c r="A14" t="s">
        <v>35</v>
      </c>
      <c r="B14" t="s">
        <v>1</v>
      </c>
      <c r="C14">
        <v>1</v>
      </c>
      <c r="D14" t="s">
        <v>33</v>
      </c>
      <c r="E14">
        <v>5</v>
      </c>
      <c r="F14" t="s">
        <v>30</v>
      </c>
      <c r="G14" t="s">
        <v>31</v>
      </c>
      <c r="H14" t="s">
        <v>32</v>
      </c>
      <c r="I14">
        <f t="shared" si="0"/>
        <v>0</v>
      </c>
      <c r="J14">
        <f t="shared" si="1"/>
        <v>1</v>
      </c>
      <c r="K14">
        <f t="shared" si="2"/>
        <v>1</v>
      </c>
      <c r="L14">
        <f t="shared" si="3"/>
        <v>1</v>
      </c>
    </row>
    <row r="15" spans="1:12" x14ac:dyDescent="0.45">
      <c r="A15" t="s">
        <v>9</v>
      </c>
      <c r="B15" t="s">
        <v>1</v>
      </c>
      <c r="C15">
        <v>5</v>
      </c>
      <c r="D15" t="s">
        <v>11</v>
      </c>
      <c r="E15">
        <v>3</v>
      </c>
      <c r="F15" t="s">
        <v>30</v>
      </c>
      <c r="G15" t="s">
        <v>31</v>
      </c>
      <c r="H15" t="s">
        <v>32</v>
      </c>
      <c r="I15">
        <f t="shared" si="0"/>
        <v>0</v>
      </c>
      <c r="J15">
        <f t="shared" si="1"/>
        <v>1</v>
      </c>
      <c r="K15">
        <f t="shared" si="2"/>
        <v>1</v>
      </c>
      <c r="L15">
        <f t="shared" si="3"/>
        <v>1</v>
      </c>
    </row>
    <row r="16" spans="1:12" x14ac:dyDescent="0.45">
      <c r="A16" t="s">
        <v>9</v>
      </c>
      <c r="B16" t="s">
        <v>8</v>
      </c>
      <c r="C16">
        <v>2</v>
      </c>
      <c r="D16" t="s">
        <v>29</v>
      </c>
      <c r="E16">
        <v>4</v>
      </c>
      <c r="F16" t="s">
        <v>30</v>
      </c>
      <c r="G16" t="s">
        <v>31</v>
      </c>
      <c r="H16" t="s">
        <v>32</v>
      </c>
      <c r="I16">
        <f t="shared" si="0"/>
        <v>1</v>
      </c>
      <c r="J16">
        <f t="shared" si="1"/>
        <v>1</v>
      </c>
      <c r="K16">
        <f t="shared" si="2"/>
        <v>1</v>
      </c>
      <c r="L16">
        <f t="shared" si="3"/>
        <v>1</v>
      </c>
    </row>
    <row r="17" spans="1:12" x14ac:dyDescent="0.45">
      <c r="A17" t="s">
        <v>0</v>
      </c>
      <c r="B17" t="s">
        <v>8</v>
      </c>
      <c r="C17">
        <v>3</v>
      </c>
      <c r="D17" t="s">
        <v>33</v>
      </c>
      <c r="E17">
        <v>2</v>
      </c>
      <c r="F17" t="s">
        <v>30</v>
      </c>
      <c r="G17" t="s">
        <v>31</v>
      </c>
      <c r="H17" t="s">
        <v>32</v>
      </c>
      <c r="I17">
        <f t="shared" si="0"/>
        <v>0</v>
      </c>
      <c r="J17">
        <f t="shared" si="1"/>
        <v>1</v>
      </c>
      <c r="K17">
        <f t="shared" si="2"/>
        <v>1</v>
      </c>
      <c r="L17">
        <f t="shared" si="3"/>
        <v>1</v>
      </c>
    </row>
    <row r="18" spans="1:12" x14ac:dyDescent="0.45">
      <c r="A18" t="s">
        <v>0</v>
      </c>
      <c r="B18" t="s">
        <v>1</v>
      </c>
      <c r="C18">
        <v>3</v>
      </c>
      <c r="D18" t="s">
        <v>29</v>
      </c>
      <c r="E18">
        <v>5</v>
      </c>
      <c r="F18" t="s">
        <v>30</v>
      </c>
      <c r="G18" t="s">
        <v>31</v>
      </c>
      <c r="H18" t="s">
        <v>32</v>
      </c>
      <c r="I18">
        <f t="shared" si="0"/>
        <v>1</v>
      </c>
      <c r="J18">
        <f t="shared" si="1"/>
        <v>1</v>
      </c>
      <c r="K18">
        <f t="shared" si="2"/>
        <v>1</v>
      </c>
      <c r="L18">
        <f t="shared" si="3"/>
        <v>1</v>
      </c>
    </row>
    <row r="19" spans="1:12" x14ac:dyDescent="0.45">
      <c r="A19" t="s">
        <v>9</v>
      </c>
      <c r="B19" t="s">
        <v>1</v>
      </c>
      <c r="C19">
        <v>5</v>
      </c>
      <c r="D19" t="s">
        <v>29</v>
      </c>
      <c r="E19">
        <v>4</v>
      </c>
      <c r="F19" t="s">
        <v>30</v>
      </c>
      <c r="G19" t="s">
        <v>31</v>
      </c>
      <c r="H19" t="s">
        <v>32</v>
      </c>
      <c r="I19">
        <f t="shared" si="0"/>
        <v>1</v>
      </c>
      <c r="J19">
        <f t="shared" si="1"/>
        <v>1</v>
      </c>
      <c r="K19">
        <f t="shared" si="2"/>
        <v>1</v>
      </c>
      <c r="L19">
        <f t="shared" si="3"/>
        <v>1</v>
      </c>
    </row>
    <row r="20" spans="1:12" x14ac:dyDescent="0.45">
      <c r="A20" t="s">
        <v>7</v>
      </c>
      <c r="B20" t="s">
        <v>1</v>
      </c>
      <c r="C20">
        <v>4</v>
      </c>
      <c r="D20" t="s">
        <v>33</v>
      </c>
      <c r="E20">
        <v>5</v>
      </c>
      <c r="F20" t="s">
        <v>30</v>
      </c>
      <c r="G20" t="s">
        <v>31</v>
      </c>
      <c r="H20" t="s">
        <v>32</v>
      </c>
      <c r="I20">
        <f t="shared" si="0"/>
        <v>0</v>
      </c>
      <c r="J20">
        <f t="shared" si="1"/>
        <v>1</v>
      </c>
      <c r="K20">
        <f t="shared" si="2"/>
        <v>1</v>
      </c>
      <c r="L20">
        <f t="shared" si="3"/>
        <v>1</v>
      </c>
    </row>
    <row r="21" spans="1:12" x14ac:dyDescent="0.45">
      <c r="A21" t="s">
        <v>35</v>
      </c>
      <c r="B21" t="s">
        <v>8</v>
      </c>
      <c r="C21">
        <v>2</v>
      </c>
      <c r="D21" t="s">
        <v>33</v>
      </c>
      <c r="E21">
        <v>4</v>
      </c>
      <c r="F21" t="s">
        <v>31</v>
      </c>
      <c r="G21" t="s">
        <v>31</v>
      </c>
      <c r="H21" t="s">
        <v>32</v>
      </c>
      <c r="I21">
        <f t="shared" si="0"/>
        <v>0</v>
      </c>
      <c r="J21">
        <f t="shared" si="1"/>
        <v>0</v>
      </c>
      <c r="K21">
        <f t="shared" si="2"/>
        <v>1</v>
      </c>
      <c r="L21">
        <f t="shared" si="3"/>
        <v>1</v>
      </c>
    </row>
    <row r="22" spans="1:12" x14ac:dyDescent="0.45">
      <c r="A22" t="s">
        <v>35</v>
      </c>
      <c r="B22" t="s">
        <v>8</v>
      </c>
      <c r="C22">
        <v>5</v>
      </c>
      <c r="D22" t="s">
        <v>33</v>
      </c>
      <c r="E22">
        <v>4</v>
      </c>
      <c r="F22" t="s">
        <v>30</v>
      </c>
      <c r="G22" t="s">
        <v>31</v>
      </c>
      <c r="H22" t="s">
        <v>32</v>
      </c>
      <c r="I22">
        <f t="shared" si="0"/>
        <v>0</v>
      </c>
      <c r="J22">
        <f t="shared" si="1"/>
        <v>1</v>
      </c>
      <c r="K22">
        <f t="shared" si="2"/>
        <v>1</v>
      </c>
      <c r="L22">
        <f t="shared" si="3"/>
        <v>1</v>
      </c>
    </row>
    <row r="23" spans="1:12" x14ac:dyDescent="0.45">
      <c r="A23" t="s">
        <v>7</v>
      </c>
      <c r="B23" t="s">
        <v>8</v>
      </c>
      <c r="C23">
        <v>1</v>
      </c>
      <c r="D23" t="s">
        <v>33</v>
      </c>
      <c r="E23">
        <v>5</v>
      </c>
      <c r="F23" t="s">
        <v>31</v>
      </c>
      <c r="G23" t="s">
        <v>30</v>
      </c>
      <c r="H23" t="s">
        <v>32</v>
      </c>
      <c r="I23">
        <f t="shared" si="0"/>
        <v>0</v>
      </c>
      <c r="J23">
        <f t="shared" si="1"/>
        <v>0</v>
      </c>
      <c r="K23">
        <f t="shared" si="2"/>
        <v>0</v>
      </c>
      <c r="L23">
        <f t="shared" si="3"/>
        <v>1</v>
      </c>
    </row>
    <row r="24" spans="1:12" x14ac:dyDescent="0.45">
      <c r="A24" t="s">
        <v>7</v>
      </c>
      <c r="B24" t="s">
        <v>8</v>
      </c>
      <c r="C24">
        <v>1</v>
      </c>
      <c r="D24" t="s">
        <v>29</v>
      </c>
      <c r="E24">
        <v>5</v>
      </c>
      <c r="F24" t="s">
        <v>11</v>
      </c>
      <c r="G24" t="s">
        <v>31</v>
      </c>
      <c r="H24" t="s">
        <v>32</v>
      </c>
      <c r="I24">
        <f t="shared" si="0"/>
        <v>1</v>
      </c>
      <c r="J24">
        <f t="shared" si="1"/>
        <v>0</v>
      </c>
      <c r="K24">
        <f t="shared" si="2"/>
        <v>1</v>
      </c>
      <c r="L24">
        <f t="shared" si="3"/>
        <v>1</v>
      </c>
    </row>
    <row r="25" spans="1:12" x14ac:dyDescent="0.45">
      <c r="A25" t="s">
        <v>7</v>
      </c>
      <c r="B25" t="s">
        <v>8</v>
      </c>
      <c r="C25">
        <v>1</v>
      </c>
      <c r="D25" t="s">
        <v>33</v>
      </c>
      <c r="E25">
        <v>5</v>
      </c>
      <c r="F25" t="s">
        <v>11</v>
      </c>
      <c r="G25" t="s">
        <v>31</v>
      </c>
      <c r="H25" t="s">
        <v>32</v>
      </c>
      <c r="I25">
        <f t="shared" si="0"/>
        <v>0</v>
      </c>
      <c r="J25">
        <f t="shared" si="1"/>
        <v>0</v>
      </c>
      <c r="K25">
        <f t="shared" si="2"/>
        <v>1</v>
      </c>
      <c r="L25">
        <f t="shared" si="3"/>
        <v>1</v>
      </c>
    </row>
    <row r="26" spans="1:12" x14ac:dyDescent="0.45">
      <c r="A26" t="s">
        <v>7</v>
      </c>
      <c r="B26" t="s">
        <v>1</v>
      </c>
      <c r="C26">
        <v>1</v>
      </c>
      <c r="D26" t="s">
        <v>36</v>
      </c>
      <c r="E26">
        <v>5</v>
      </c>
      <c r="F26" t="s">
        <v>31</v>
      </c>
      <c r="G26" t="s">
        <v>30</v>
      </c>
      <c r="H26" t="s">
        <v>32</v>
      </c>
      <c r="I26">
        <f t="shared" si="0"/>
        <v>0</v>
      </c>
      <c r="J26">
        <f t="shared" si="1"/>
        <v>0</v>
      </c>
      <c r="K26">
        <f t="shared" si="2"/>
        <v>0</v>
      </c>
      <c r="L26">
        <f t="shared" si="3"/>
        <v>1</v>
      </c>
    </row>
    <row r="27" spans="1:12" x14ac:dyDescent="0.45">
      <c r="A27" t="s">
        <v>7</v>
      </c>
      <c r="B27" t="s">
        <v>1</v>
      </c>
      <c r="C27">
        <v>1</v>
      </c>
      <c r="D27" t="s">
        <v>29</v>
      </c>
      <c r="E27">
        <v>3</v>
      </c>
      <c r="F27" t="s">
        <v>31</v>
      </c>
      <c r="G27" t="s">
        <v>31</v>
      </c>
      <c r="H27" t="s">
        <v>32</v>
      </c>
      <c r="I27">
        <f t="shared" si="0"/>
        <v>1</v>
      </c>
      <c r="J27">
        <f t="shared" si="1"/>
        <v>0</v>
      </c>
      <c r="K27">
        <f t="shared" si="2"/>
        <v>1</v>
      </c>
      <c r="L27">
        <f t="shared" si="3"/>
        <v>1</v>
      </c>
    </row>
    <row r="28" spans="1:12" x14ac:dyDescent="0.45">
      <c r="A28" t="s">
        <v>7</v>
      </c>
      <c r="B28" t="s">
        <v>1</v>
      </c>
      <c r="C28">
        <v>2</v>
      </c>
      <c r="D28" t="s">
        <v>33</v>
      </c>
      <c r="E28">
        <v>3</v>
      </c>
      <c r="F28" t="s">
        <v>31</v>
      </c>
      <c r="G28" t="s">
        <v>31</v>
      </c>
      <c r="H28" t="s">
        <v>32</v>
      </c>
      <c r="I28">
        <f t="shared" si="0"/>
        <v>0</v>
      </c>
      <c r="J28">
        <f t="shared" si="1"/>
        <v>0</v>
      </c>
      <c r="K28">
        <f t="shared" si="2"/>
        <v>1</v>
      </c>
      <c r="L28">
        <f t="shared" si="3"/>
        <v>1</v>
      </c>
    </row>
    <row r="29" spans="1:12" x14ac:dyDescent="0.45">
      <c r="A29" t="s">
        <v>9</v>
      </c>
      <c r="B29" t="s">
        <v>8</v>
      </c>
      <c r="C29">
        <v>2</v>
      </c>
      <c r="D29" t="s">
        <v>29</v>
      </c>
      <c r="E29">
        <v>5</v>
      </c>
      <c r="F29" t="s">
        <v>30</v>
      </c>
      <c r="G29" t="s">
        <v>31</v>
      </c>
      <c r="H29" t="s">
        <v>32</v>
      </c>
      <c r="I29">
        <f t="shared" si="0"/>
        <v>1</v>
      </c>
      <c r="J29">
        <f t="shared" si="1"/>
        <v>1</v>
      </c>
      <c r="K29">
        <f t="shared" si="2"/>
        <v>1</v>
      </c>
      <c r="L29">
        <f t="shared" si="3"/>
        <v>1</v>
      </c>
    </row>
    <row r="30" spans="1:12" x14ac:dyDescent="0.45">
      <c r="A30" t="s">
        <v>9</v>
      </c>
      <c r="B30" t="s">
        <v>1</v>
      </c>
      <c r="C30">
        <v>1</v>
      </c>
      <c r="D30" t="s">
        <v>29</v>
      </c>
      <c r="E30">
        <v>4</v>
      </c>
      <c r="F30" t="s">
        <v>30</v>
      </c>
      <c r="G30" t="s">
        <v>31</v>
      </c>
      <c r="H30" t="s">
        <v>32</v>
      </c>
      <c r="I30">
        <f t="shared" si="0"/>
        <v>1</v>
      </c>
      <c r="J30">
        <f t="shared" si="1"/>
        <v>1</v>
      </c>
      <c r="K30">
        <f t="shared" si="2"/>
        <v>1</v>
      </c>
      <c r="L30">
        <f t="shared" si="3"/>
        <v>1</v>
      </c>
    </row>
    <row r="31" spans="1:12" x14ac:dyDescent="0.45">
      <c r="A31" t="s">
        <v>10</v>
      </c>
      <c r="B31" t="s">
        <v>1</v>
      </c>
      <c r="C31">
        <v>1</v>
      </c>
      <c r="D31" t="s">
        <v>33</v>
      </c>
      <c r="E31">
        <v>3</v>
      </c>
      <c r="F31" t="s">
        <v>31</v>
      </c>
      <c r="G31" t="s">
        <v>30</v>
      </c>
      <c r="H31" t="s">
        <v>32</v>
      </c>
      <c r="I31">
        <f t="shared" si="0"/>
        <v>0</v>
      </c>
      <c r="J31">
        <f t="shared" si="1"/>
        <v>0</v>
      </c>
      <c r="K31">
        <f t="shared" si="2"/>
        <v>0</v>
      </c>
      <c r="L31">
        <f t="shared" si="3"/>
        <v>1</v>
      </c>
    </row>
    <row r="32" spans="1:12" x14ac:dyDescent="0.45">
      <c r="A32" t="s">
        <v>7</v>
      </c>
      <c r="B32" t="s">
        <v>1</v>
      </c>
      <c r="C32">
        <v>2</v>
      </c>
      <c r="D32" t="s">
        <v>33</v>
      </c>
      <c r="E32">
        <v>5</v>
      </c>
      <c r="F32" t="s">
        <v>31</v>
      </c>
      <c r="G32" t="s">
        <v>31</v>
      </c>
      <c r="H32" t="s">
        <v>11</v>
      </c>
      <c r="I32">
        <f t="shared" si="0"/>
        <v>0</v>
      </c>
      <c r="J32">
        <f t="shared" si="1"/>
        <v>0</v>
      </c>
      <c r="K32">
        <f t="shared" si="2"/>
        <v>1</v>
      </c>
      <c r="L32">
        <f t="shared" si="3"/>
        <v>0</v>
      </c>
    </row>
    <row r="33" spans="1:13" x14ac:dyDescent="0.45">
      <c r="A33" t="s">
        <v>9</v>
      </c>
      <c r="B33" t="s">
        <v>1</v>
      </c>
      <c r="C33">
        <v>1</v>
      </c>
      <c r="D33" t="s">
        <v>33</v>
      </c>
      <c r="E33">
        <v>4</v>
      </c>
      <c r="F33" t="s">
        <v>30</v>
      </c>
      <c r="G33" t="s">
        <v>31</v>
      </c>
      <c r="H33" t="s">
        <v>32</v>
      </c>
      <c r="I33">
        <f t="shared" si="0"/>
        <v>0</v>
      </c>
      <c r="J33">
        <f t="shared" si="1"/>
        <v>1</v>
      </c>
      <c r="K33">
        <f t="shared" si="2"/>
        <v>1</v>
      </c>
      <c r="L33">
        <f t="shared" si="3"/>
        <v>1</v>
      </c>
    </row>
    <row r="34" spans="1:13" x14ac:dyDescent="0.45">
      <c r="A34" t="s">
        <v>9</v>
      </c>
      <c r="B34" t="s">
        <v>1</v>
      </c>
      <c r="C34">
        <v>3</v>
      </c>
      <c r="D34" t="s">
        <v>33</v>
      </c>
      <c r="E34">
        <v>3</v>
      </c>
      <c r="F34" t="s">
        <v>30</v>
      </c>
      <c r="G34" t="s">
        <v>31</v>
      </c>
      <c r="H34" t="s">
        <v>32</v>
      </c>
      <c r="I34">
        <f t="shared" si="0"/>
        <v>0</v>
      </c>
      <c r="J34">
        <f t="shared" si="1"/>
        <v>1</v>
      </c>
      <c r="K34">
        <f t="shared" si="2"/>
        <v>1</v>
      </c>
      <c r="L34">
        <f t="shared" si="3"/>
        <v>1</v>
      </c>
    </row>
    <row r="35" spans="1:13" x14ac:dyDescent="0.45">
      <c r="A35" t="s">
        <v>9</v>
      </c>
      <c r="B35" t="s">
        <v>1</v>
      </c>
      <c r="C35">
        <v>3</v>
      </c>
      <c r="D35" t="s">
        <v>33</v>
      </c>
      <c r="E35">
        <v>3</v>
      </c>
      <c r="F35" t="s">
        <v>30</v>
      </c>
      <c r="G35" t="s">
        <v>31</v>
      </c>
      <c r="H35" t="s">
        <v>32</v>
      </c>
      <c r="I35">
        <f t="shared" si="0"/>
        <v>0</v>
      </c>
      <c r="J35">
        <f t="shared" si="1"/>
        <v>1</v>
      </c>
      <c r="K35">
        <f t="shared" si="2"/>
        <v>1</v>
      </c>
      <c r="L35">
        <f t="shared" si="3"/>
        <v>1</v>
      </c>
    </row>
    <row r="36" spans="1:13" x14ac:dyDescent="0.45">
      <c r="A36" t="s">
        <v>9</v>
      </c>
      <c r="B36" t="s">
        <v>1</v>
      </c>
      <c r="C36">
        <v>3</v>
      </c>
      <c r="D36" t="s">
        <v>29</v>
      </c>
      <c r="E36">
        <v>4</v>
      </c>
      <c r="F36" t="s">
        <v>30</v>
      </c>
      <c r="G36" t="s">
        <v>31</v>
      </c>
      <c r="H36" t="s">
        <v>32</v>
      </c>
      <c r="I36">
        <f t="shared" si="0"/>
        <v>1</v>
      </c>
      <c r="J36">
        <f t="shared" si="1"/>
        <v>1</v>
      </c>
      <c r="K36">
        <f t="shared" si="2"/>
        <v>1</v>
      </c>
      <c r="L36">
        <f t="shared" si="3"/>
        <v>1</v>
      </c>
    </row>
    <row r="38" spans="1:13" x14ac:dyDescent="0.45">
      <c r="H38" t="s">
        <v>21</v>
      </c>
      <c r="I38">
        <f>AVERAGE(I2:I36)</f>
        <v>0.34285714285714286</v>
      </c>
    </row>
    <row r="39" spans="1:13" x14ac:dyDescent="0.45">
      <c r="H39" t="s">
        <v>23</v>
      </c>
      <c r="J39">
        <f>AVERAGE(J2:J36)</f>
        <v>0.7142857142857143</v>
      </c>
      <c r="K39">
        <f t="shared" ref="K39:L39" si="4">AVERAGE(K2:K36)</f>
        <v>0.8571428571428571</v>
      </c>
      <c r="L39">
        <f t="shared" si="4"/>
        <v>0.97142857142857142</v>
      </c>
    </row>
    <row r="40" spans="1:13" x14ac:dyDescent="0.45">
      <c r="H40" t="s">
        <v>26</v>
      </c>
      <c r="M40">
        <f>AVERAGE(J2:L36)</f>
        <v>0.84761904761904761</v>
      </c>
    </row>
    <row r="42" spans="1:13" x14ac:dyDescent="0.45">
      <c r="H42" t="s">
        <v>27</v>
      </c>
      <c r="I42">
        <f>AVERAGE(E2:E36)</f>
        <v>4</v>
      </c>
    </row>
    <row r="43" spans="1:13" x14ac:dyDescent="0.45">
      <c r="H43" t="s">
        <v>28</v>
      </c>
      <c r="I43">
        <f>_xlfn.STDEV.S(E2:E36)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B14B-2DBB-4122-AE94-BEC8F1E485B0}">
  <dimension ref="A1:M43"/>
  <sheetViews>
    <sheetView topLeftCell="D15" workbookViewId="0">
      <selection activeCell="F38" sqref="F38"/>
    </sheetView>
  </sheetViews>
  <sheetFormatPr defaultRowHeight="14.25" x14ac:dyDescent="0.45"/>
  <cols>
    <col min="4" max="4" width="16.3984375" customWidth="1"/>
    <col min="6" max="6" width="20.59765625" bestFit="1" customWidth="1"/>
    <col min="7" max="7" width="18.19921875" bestFit="1" customWidth="1"/>
    <col min="8" max="8" width="20.59765625" bestFit="1" customWidth="1"/>
  </cols>
  <sheetData>
    <row r="1" spans="1:12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24</v>
      </c>
      <c r="L1" t="s">
        <v>25</v>
      </c>
    </row>
    <row r="2" spans="1:12" x14ac:dyDescent="0.45">
      <c r="A2" t="s">
        <v>9</v>
      </c>
      <c r="B2" t="s">
        <v>8</v>
      </c>
      <c r="C2">
        <v>3</v>
      </c>
      <c r="D2" t="s">
        <v>33</v>
      </c>
      <c r="E2">
        <v>4</v>
      </c>
      <c r="F2" t="s">
        <v>37</v>
      </c>
      <c r="G2" t="s">
        <v>38</v>
      </c>
      <c r="H2" t="s">
        <v>11</v>
      </c>
      <c r="I2">
        <f>IF(D2="Disgust",1,0)</f>
        <v>0</v>
      </c>
      <c r="J2">
        <f>IF(ISNUMBER(SEARCH("Level 3",F2)),1,0)</f>
        <v>0</v>
      </c>
      <c r="K2">
        <f>IF(ISNUMBER(SEARCH("Level 2",G2)),1,0)</f>
        <v>1</v>
      </c>
      <c r="L2">
        <f>IF(ISNUMBER(SEARCH("Level 1",H2)),1,0)</f>
        <v>0</v>
      </c>
    </row>
    <row r="3" spans="1:12" x14ac:dyDescent="0.45">
      <c r="A3" t="s">
        <v>0</v>
      </c>
      <c r="B3" t="s">
        <v>1</v>
      </c>
      <c r="C3">
        <v>2</v>
      </c>
      <c r="D3" t="s">
        <v>33</v>
      </c>
      <c r="E3">
        <v>4</v>
      </c>
      <c r="F3" t="s">
        <v>11</v>
      </c>
      <c r="G3" t="s">
        <v>38</v>
      </c>
      <c r="H3" t="s">
        <v>37</v>
      </c>
      <c r="I3">
        <f t="shared" ref="I3:I36" si="0">IF(D3="Disgust",1,0)</f>
        <v>0</v>
      </c>
      <c r="J3">
        <f t="shared" ref="J3:J36" si="1">IF(ISNUMBER(SEARCH("Level 3",F3)),1,0)</f>
        <v>0</v>
      </c>
      <c r="K3">
        <f t="shared" ref="K3:K36" si="2">IF(ISNUMBER(SEARCH("Level 2",G3)),1,0)</f>
        <v>1</v>
      </c>
      <c r="L3">
        <f t="shared" ref="L3:L36" si="3">IF(ISNUMBER(SEARCH("Level 1",H3)),1,0)</f>
        <v>1</v>
      </c>
    </row>
    <row r="4" spans="1:12" x14ac:dyDescent="0.45">
      <c r="A4" t="s">
        <v>7</v>
      </c>
      <c r="B4" t="s">
        <v>1</v>
      </c>
      <c r="C4">
        <v>3</v>
      </c>
      <c r="D4" t="s">
        <v>39</v>
      </c>
      <c r="E4">
        <v>3</v>
      </c>
      <c r="F4" t="s">
        <v>38</v>
      </c>
      <c r="G4" t="s">
        <v>40</v>
      </c>
      <c r="H4" t="s">
        <v>37</v>
      </c>
      <c r="I4">
        <f t="shared" si="0"/>
        <v>1</v>
      </c>
      <c r="J4">
        <f t="shared" si="1"/>
        <v>0</v>
      </c>
      <c r="K4">
        <f t="shared" si="2"/>
        <v>0</v>
      </c>
      <c r="L4">
        <f t="shared" si="3"/>
        <v>1</v>
      </c>
    </row>
    <row r="5" spans="1:12" x14ac:dyDescent="0.45">
      <c r="A5" t="s">
        <v>7</v>
      </c>
      <c r="B5" t="s">
        <v>8</v>
      </c>
      <c r="C5">
        <v>4</v>
      </c>
      <c r="D5" t="s">
        <v>5</v>
      </c>
      <c r="E5">
        <v>5</v>
      </c>
      <c r="F5" t="s">
        <v>37</v>
      </c>
      <c r="G5" t="s">
        <v>40</v>
      </c>
      <c r="H5" t="s">
        <v>37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1</v>
      </c>
    </row>
    <row r="6" spans="1:12" x14ac:dyDescent="0.45">
      <c r="A6" t="s">
        <v>7</v>
      </c>
      <c r="B6" t="s">
        <v>8</v>
      </c>
      <c r="C6">
        <v>4</v>
      </c>
      <c r="D6" t="s">
        <v>33</v>
      </c>
      <c r="E6">
        <v>5</v>
      </c>
      <c r="F6" t="s">
        <v>37</v>
      </c>
      <c r="G6" t="s">
        <v>40</v>
      </c>
      <c r="H6" t="s">
        <v>37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1</v>
      </c>
    </row>
    <row r="7" spans="1:12" x14ac:dyDescent="0.45">
      <c r="A7" t="s">
        <v>0</v>
      </c>
      <c r="B7" t="s">
        <v>8</v>
      </c>
      <c r="C7">
        <v>4</v>
      </c>
      <c r="D7" t="s">
        <v>39</v>
      </c>
      <c r="E7">
        <v>5</v>
      </c>
      <c r="F7" t="s">
        <v>38</v>
      </c>
      <c r="G7" t="s">
        <v>40</v>
      </c>
      <c r="H7" t="s">
        <v>37</v>
      </c>
      <c r="I7">
        <f t="shared" si="0"/>
        <v>1</v>
      </c>
      <c r="J7">
        <f t="shared" si="1"/>
        <v>0</v>
      </c>
      <c r="K7">
        <f t="shared" si="2"/>
        <v>0</v>
      </c>
      <c r="L7">
        <f t="shared" si="3"/>
        <v>1</v>
      </c>
    </row>
    <row r="8" spans="1:12" x14ac:dyDescent="0.45">
      <c r="A8" t="s">
        <v>0</v>
      </c>
      <c r="B8" t="s">
        <v>8</v>
      </c>
      <c r="C8">
        <v>3</v>
      </c>
      <c r="D8" t="s">
        <v>2</v>
      </c>
      <c r="E8">
        <v>4</v>
      </c>
      <c r="F8" t="s">
        <v>37</v>
      </c>
      <c r="G8" t="s">
        <v>40</v>
      </c>
      <c r="H8" t="s">
        <v>37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1</v>
      </c>
    </row>
    <row r="9" spans="1:12" x14ac:dyDescent="0.45">
      <c r="A9" t="s">
        <v>0</v>
      </c>
      <c r="B9" t="s">
        <v>1</v>
      </c>
      <c r="C9">
        <v>4</v>
      </c>
      <c r="D9" t="s">
        <v>39</v>
      </c>
      <c r="E9">
        <v>2</v>
      </c>
      <c r="F9" t="s">
        <v>38</v>
      </c>
      <c r="G9" t="s">
        <v>40</v>
      </c>
      <c r="H9" t="s">
        <v>37</v>
      </c>
      <c r="I9">
        <f t="shared" si="0"/>
        <v>1</v>
      </c>
      <c r="J9">
        <f t="shared" si="1"/>
        <v>0</v>
      </c>
      <c r="K9">
        <f t="shared" si="2"/>
        <v>0</v>
      </c>
      <c r="L9">
        <f t="shared" si="3"/>
        <v>1</v>
      </c>
    </row>
    <row r="10" spans="1:12" x14ac:dyDescent="0.45">
      <c r="A10" t="s">
        <v>9</v>
      </c>
      <c r="B10" t="s">
        <v>1</v>
      </c>
      <c r="C10">
        <v>3</v>
      </c>
      <c r="D10" t="s">
        <v>39</v>
      </c>
      <c r="E10">
        <v>5</v>
      </c>
      <c r="F10" t="s">
        <v>38</v>
      </c>
      <c r="G10" t="s">
        <v>40</v>
      </c>
      <c r="H10" t="s">
        <v>37</v>
      </c>
      <c r="I10">
        <f t="shared" si="0"/>
        <v>1</v>
      </c>
      <c r="J10">
        <f t="shared" si="1"/>
        <v>0</v>
      </c>
      <c r="K10">
        <f t="shared" si="2"/>
        <v>0</v>
      </c>
      <c r="L10">
        <f t="shared" si="3"/>
        <v>1</v>
      </c>
    </row>
    <row r="11" spans="1:12" x14ac:dyDescent="0.45">
      <c r="A11" t="s">
        <v>9</v>
      </c>
      <c r="B11" t="s">
        <v>1</v>
      </c>
      <c r="C11">
        <v>2</v>
      </c>
      <c r="D11" t="s">
        <v>39</v>
      </c>
      <c r="E11">
        <v>2</v>
      </c>
      <c r="F11" t="s">
        <v>38</v>
      </c>
      <c r="G11" t="s">
        <v>40</v>
      </c>
      <c r="H11" t="s">
        <v>37</v>
      </c>
      <c r="I11">
        <f t="shared" si="0"/>
        <v>1</v>
      </c>
      <c r="J11">
        <f t="shared" si="1"/>
        <v>0</v>
      </c>
      <c r="K11">
        <f t="shared" si="2"/>
        <v>0</v>
      </c>
      <c r="L11">
        <f t="shared" si="3"/>
        <v>1</v>
      </c>
    </row>
    <row r="12" spans="1:12" x14ac:dyDescent="0.45">
      <c r="A12" t="s">
        <v>0</v>
      </c>
      <c r="B12" t="s">
        <v>1</v>
      </c>
      <c r="C12">
        <v>1</v>
      </c>
      <c r="D12" t="s">
        <v>33</v>
      </c>
      <c r="E12">
        <v>4</v>
      </c>
      <c r="F12" t="s">
        <v>37</v>
      </c>
      <c r="G12" t="s">
        <v>40</v>
      </c>
      <c r="H12" t="s">
        <v>37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1</v>
      </c>
    </row>
    <row r="13" spans="1:12" x14ac:dyDescent="0.45">
      <c r="A13" t="s">
        <v>0</v>
      </c>
      <c r="B13" t="s">
        <v>1</v>
      </c>
      <c r="C13">
        <v>4</v>
      </c>
      <c r="D13" t="s">
        <v>11</v>
      </c>
      <c r="E13">
        <v>3</v>
      </c>
      <c r="F13" t="s">
        <v>11</v>
      </c>
      <c r="G13" t="s">
        <v>38</v>
      </c>
      <c r="H13" t="s">
        <v>37</v>
      </c>
      <c r="I13">
        <f t="shared" si="0"/>
        <v>0</v>
      </c>
      <c r="J13">
        <f t="shared" si="1"/>
        <v>0</v>
      </c>
      <c r="K13">
        <f t="shared" si="2"/>
        <v>1</v>
      </c>
      <c r="L13">
        <f t="shared" si="3"/>
        <v>1</v>
      </c>
    </row>
    <row r="14" spans="1:12" x14ac:dyDescent="0.45">
      <c r="A14" t="s">
        <v>0</v>
      </c>
      <c r="B14" t="s">
        <v>1</v>
      </c>
      <c r="C14">
        <v>3</v>
      </c>
      <c r="D14" t="s">
        <v>2</v>
      </c>
      <c r="E14">
        <v>2</v>
      </c>
      <c r="F14" t="s">
        <v>40</v>
      </c>
      <c r="G14" t="s">
        <v>38</v>
      </c>
      <c r="H14" t="s">
        <v>37</v>
      </c>
      <c r="I14">
        <f t="shared" si="0"/>
        <v>0</v>
      </c>
      <c r="J14">
        <f t="shared" si="1"/>
        <v>1</v>
      </c>
      <c r="K14">
        <f t="shared" si="2"/>
        <v>1</v>
      </c>
      <c r="L14">
        <f t="shared" si="3"/>
        <v>1</v>
      </c>
    </row>
    <row r="15" spans="1:12" x14ac:dyDescent="0.45">
      <c r="A15" t="s">
        <v>0</v>
      </c>
      <c r="B15" t="s">
        <v>1</v>
      </c>
      <c r="C15">
        <v>2</v>
      </c>
      <c r="D15" t="s">
        <v>33</v>
      </c>
      <c r="E15">
        <v>4</v>
      </c>
      <c r="F15" t="s">
        <v>38</v>
      </c>
      <c r="G15" t="s">
        <v>40</v>
      </c>
      <c r="H15" t="s">
        <v>37</v>
      </c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1</v>
      </c>
    </row>
    <row r="16" spans="1:12" x14ac:dyDescent="0.45">
      <c r="A16" t="s">
        <v>0</v>
      </c>
      <c r="B16" t="s">
        <v>1</v>
      </c>
      <c r="C16">
        <v>2</v>
      </c>
      <c r="D16" t="s">
        <v>33</v>
      </c>
      <c r="E16">
        <v>3</v>
      </c>
      <c r="F16" t="s">
        <v>40</v>
      </c>
      <c r="G16" t="s">
        <v>38</v>
      </c>
      <c r="H16" t="s">
        <v>37</v>
      </c>
      <c r="I16">
        <f t="shared" si="0"/>
        <v>0</v>
      </c>
      <c r="J16">
        <f t="shared" si="1"/>
        <v>1</v>
      </c>
      <c r="K16">
        <f t="shared" si="2"/>
        <v>1</v>
      </c>
      <c r="L16">
        <f t="shared" si="3"/>
        <v>1</v>
      </c>
    </row>
    <row r="17" spans="1:12" x14ac:dyDescent="0.45">
      <c r="A17" t="s">
        <v>9</v>
      </c>
      <c r="B17" t="s">
        <v>8</v>
      </c>
      <c r="C17">
        <v>2</v>
      </c>
      <c r="D17" t="s">
        <v>39</v>
      </c>
      <c r="E17">
        <v>4</v>
      </c>
      <c r="F17" t="s">
        <v>38</v>
      </c>
      <c r="G17" t="s">
        <v>40</v>
      </c>
      <c r="H17" t="s">
        <v>37</v>
      </c>
      <c r="I17">
        <f t="shared" si="0"/>
        <v>1</v>
      </c>
      <c r="J17">
        <f t="shared" si="1"/>
        <v>0</v>
      </c>
      <c r="K17">
        <f t="shared" si="2"/>
        <v>0</v>
      </c>
      <c r="L17">
        <f t="shared" si="3"/>
        <v>1</v>
      </c>
    </row>
    <row r="18" spans="1:12" x14ac:dyDescent="0.45">
      <c r="A18" t="s">
        <v>9</v>
      </c>
      <c r="B18" t="s">
        <v>8</v>
      </c>
      <c r="C18">
        <v>5</v>
      </c>
      <c r="D18" t="s">
        <v>2</v>
      </c>
      <c r="E18">
        <v>4</v>
      </c>
      <c r="F18" t="s">
        <v>38</v>
      </c>
      <c r="G18" t="s">
        <v>40</v>
      </c>
      <c r="H18" t="s">
        <v>37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1</v>
      </c>
    </row>
    <row r="19" spans="1:12" x14ac:dyDescent="0.45">
      <c r="A19" t="s">
        <v>0</v>
      </c>
      <c r="B19" t="s">
        <v>1</v>
      </c>
      <c r="C19">
        <v>1</v>
      </c>
      <c r="D19" t="s">
        <v>33</v>
      </c>
      <c r="E19">
        <v>4</v>
      </c>
      <c r="F19" t="s">
        <v>38</v>
      </c>
      <c r="G19" t="s">
        <v>40</v>
      </c>
      <c r="H19" t="s">
        <v>37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1</v>
      </c>
    </row>
    <row r="20" spans="1:12" x14ac:dyDescent="0.45">
      <c r="A20" t="s">
        <v>9</v>
      </c>
      <c r="B20" t="s">
        <v>8</v>
      </c>
      <c r="C20">
        <v>4</v>
      </c>
      <c r="D20" t="s">
        <v>5</v>
      </c>
      <c r="E20">
        <v>1</v>
      </c>
      <c r="F20" t="s">
        <v>40</v>
      </c>
      <c r="G20" t="s">
        <v>38</v>
      </c>
      <c r="H20" t="s">
        <v>37</v>
      </c>
      <c r="I20">
        <f t="shared" si="0"/>
        <v>0</v>
      </c>
      <c r="J20">
        <f t="shared" si="1"/>
        <v>1</v>
      </c>
      <c r="K20">
        <f t="shared" si="2"/>
        <v>1</v>
      </c>
      <c r="L20">
        <f t="shared" si="3"/>
        <v>1</v>
      </c>
    </row>
    <row r="21" spans="1:12" x14ac:dyDescent="0.45">
      <c r="A21" t="s">
        <v>9</v>
      </c>
      <c r="B21" t="s">
        <v>8</v>
      </c>
      <c r="C21">
        <v>3</v>
      </c>
      <c r="D21" t="s">
        <v>5</v>
      </c>
      <c r="E21">
        <v>2</v>
      </c>
      <c r="F21" t="s">
        <v>38</v>
      </c>
      <c r="G21" t="s">
        <v>40</v>
      </c>
      <c r="H21" t="s">
        <v>37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1</v>
      </c>
    </row>
    <row r="22" spans="1:12" x14ac:dyDescent="0.45">
      <c r="A22" t="s">
        <v>9</v>
      </c>
      <c r="B22" t="s">
        <v>1</v>
      </c>
      <c r="C22">
        <v>4</v>
      </c>
      <c r="D22" t="s">
        <v>2</v>
      </c>
      <c r="E22">
        <v>1</v>
      </c>
      <c r="F22" t="s">
        <v>37</v>
      </c>
      <c r="G22" t="s">
        <v>40</v>
      </c>
      <c r="H22" t="s">
        <v>38</v>
      </c>
      <c r="I22">
        <f t="shared" si="0"/>
        <v>0</v>
      </c>
      <c r="J22">
        <f t="shared" si="1"/>
        <v>0</v>
      </c>
      <c r="K22">
        <f t="shared" si="2"/>
        <v>0</v>
      </c>
      <c r="L22">
        <f t="shared" si="3"/>
        <v>0</v>
      </c>
    </row>
    <row r="23" spans="1:12" x14ac:dyDescent="0.45">
      <c r="A23" t="s">
        <v>9</v>
      </c>
      <c r="B23" t="s">
        <v>1</v>
      </c>
      <c r="C23">
        <v>5</v>
      </c>
      <c r="D23" t="s">
        <v>39</v>
      </c>
      <c r="E23">
        <v>5</v>
      </c>
      <c r="F23" t="s">
        <v>38</v>
      </c>
      <c r="G23" t="s">
        <v>40</v>
      </c>
      <c r="H23" t="s">
        <v>37</v>
      </c>
      <c r="I23">
        <f t="shared" si="0"/>
        <v>1</v>
      </c>
      <c r="J23">
        <f t="shared" si="1"/>
        <v>0</v>
      </c>
      <c r="K23">
        <f t="shared" si="2"/>
        <v>0</v>
      </c>
      <c r="L23">
        <f t="shared" si="3"/>
        <v>1</v>
      </c>
    </row>
    <row r="24" spans="1:12" x14ac:dyDescent="0.45">
      <c r="A24" t="s">
        <v>7</v>
      </c>
      <c r="B24" t="s">
        <v>8</v>
      </c>
      <c r="C24">
        <v>1</v>
      </c>
      <c r="D24" t="s">
        <v>33</v>
      </c>
      <c r="E24">
        <v>5</v>
      </c>
      <c r="F24" t="s">
        <v>40</v>
      </c>
      <c r="G24" t="s">
        <v>37</v>
      </c>
      <c r="H24" t="s">
        <v>37</v>
      </c>
      <c r="I24">
        <f t="shared" si="0"/>
        <v>0</v>
      </c>
      <c r="J24">
        <f t="shared" si="1"/>
        <v>1</v>
      </c>
      <c r="K24">
        <f t="shared" si="2"/>
        <v>0</v>
      </c>
      <c r="L24">
        <f t="shared" si="3"/>
        <v>1</v>
      </c>
    </row>
    <row r="25" spans="1:12" x14ac:dyDescent="0.45">
      <c r="A25" t="s">
        <v>9</v>
      </c>
      <c r="B25" t="s">
        <v>1</v>
      </c>
      <c r="C25">
        <v>3</v>
      </c>
      <c r="D25" t="s">
        <v>5</v>
      </c>
      <c r="E25">
        <v>2</v>
      </c>
      <c r="F25" t="s">
        <v>38</v>
      </c>
      <c r="G25" t="s">
        <v>37</v>
      </c>
      <c r="H25" t="s">
        <v>11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0</v>
      </c>
    </row>
    <row r="26" spans="1:12" x14ac:dyDescent="0.45">
      <c r="A26" t="s">
        <v>7</v>
      </c>
      <c r="B26" t="s">
        <v>1</v>
      </c>
      <c r="C26">
        <v>4</v>
      </c>
      <c r="D26" t="s">
        <v>33</v>
      </c>
      <c r="E26">
        <v>3</v>
      </c>
      <c r="F26" t="s">
        <v>38</v>
      </c>
      <c r="G26" t="s">
        <v>38</v>
      </c>
      <c r="H26" t="s">
        <v>37</v>
      </c>
      <c r="I26">
        <f t="shared" si="0"/>
        <v>0</v>
      </c>
      <c r="J26">
        <f t="shared" si="1"/>
        <v>0</v>
      </c>
      <c r="K26">
        <f t="shared" si="2"/>
        <v>1</v>
      </c>
      <c r="L26">
        <f t="shared" si="3"/>
        <v>1</v>
      </c>
    </row>
    <row r="27" spans="1:12" x14ac:dyDescent="0.45">
      <c r="A27" t="s">
        <v>35</v>
      </c>
      <c r="B27" t="s">
        <v>8</v>
      </c>
      <c r="C27">
        <v>2</v>
      </c>
      <c r="D27" t="s">
        <v>29</v>
      </c>
      <c r="E27">
        <v>3</v>
      </c>
      <c r="F27" t="s">
        <v>38</v>
      </c>
      <c r="G27" t="s">
        <v>40</v>
      </c>
      <c r="H27" t="s">
        <v>37</v>
      </c>
      <c r="I27">
        <f t="shared" si="0"/>
        <v>0</v>
      </c>
      <c r="J27">
        <f t="shared" si="1"/>
        <v>0</v>
      </c>
      <c r="K27">
        <f t="shared" si="2"/>
        <v>0</v>
      </c>
      <c r="L27">
        <f t="shared" si="3"/>
        <v>1</v>
      </c>
    </row>
    <row r="28" spans="1:12" x14ac:dyDescent="0.45">
      <c r="A28" t="s">
        <v>7</v>
      </c>
      <c r="B28" t="s">
        <v>8</v>
      </c>
      <c r="C28">
        <v>1</v>
      </c>
      <c r="D28" t="s">
        <v>33</v>
      </c>
      <c r="E28">
        <v>5</v>
      </c>
      <c r="F28" t="s">
        <v>38</v>
      </c>
      <c r="G28" t="s">
        <v>40</v>
      </c>
      <c r="H28" t="s">
        <v>37</v>
      </c>
      <c r="I28">
        <f t="shared" si="0"/>
        <v>0</v>
      </c>
      <c r="J28">
        <f t="shared" si="1"/>
        <v>0</v>
      </c>
      <c r="K28">
        <f t="shared" si="2"/>
        <v>0</v>
      </c>
      <c r="L28">
        <f t="shared" si="3"/>
        <v>1</v>
      </c>
    </row>
    <row r="29" spans="1:12" x14ac:dyDescent="0.45">
      <c r="A29" t="s">
        <v>7</v>
      </c>
      <c r="B29" t="s">
        <v>8</v>
      </c>
      <c r="C29">
        <v>2</v>
      </c>
      <c r="D29" t="s">
        <v>29</v>
      </c>
      <c r="E29">
        <v>3</v>
      </c>
      <c r="F29" t="s">
        <v>37</v>
      </c>
      <c r="G29" t="s">
        <v>38</v>
      </c>
      <c r="H29" t="s">
        <v>37</v>
      </c>
      <c r="I29">
        <f t="shared" si="0"/>
        <v>0</v>
      </c>
      <c r="J29">
        <f t="shared" si="1"/>
        <v>0</v>
      </c>
      <c r="K29">
        <f t="shared" si="2"/>
        <v>1</v>
      </c>
      <c r="L29">
        <f t="shared" si="3"/>
        <v>1</v>
      </c>
    </row>
    <row r="30" spans="1:12" x14ac:dyDescent="0.45">
      <c r="A30" t="s">
        <v>9</v>
      </c>
      <c r="B30" t="s">
        <v>8</v>
      </c>
      <c r="C30">
        <v>2</v>
      </c>
      <c r="D30" t="s">
        <v>39</v>
      </c>
      <c r="E30">
        <v>3</v>
      </c>
      <c r="F30" t="s">
        <v>11</v>
      </c>
      <c r="G30" t="s">
        <v>38</v>
      </c>
      <c r="H30" t="s">
        <v>37</v>
      </c>
      <c r="I30">
        <f t="shared" si="0"/>
        <v>1</v>
      </c>
      <c r="J30">
        <f t="shared" si="1"/>
        <v>0</v>
      </c>
      <c r="K30">
        <f t="shared" si="2"/>
        <v>1</v>
      </c>
      <c r="L30">
        <f t="shared" si="3"/>
        <v>1</v>
      </c>
    </row>
    <row r="31" spans="1:12" x14ac:dyDescent="0.45">
      <c r="A31" t="s">
        <v>10</v>
      </c>
      <c r="B31" t="s">
        <v>1</v>
      </c>
      <c r="C31">
        <v>1</v>
      </c>
      <c r="D31" t="s">
        <v>33</v>
      </c>
      <c r="E31">
        <v>5</v>
      </c>
      <c r="F31" t="s">
        <v>38</v>
      </c>
      <c r="G31" t="s">
        <v>40</v>
      </c>
      <c r="H31" t="s">
        <v>37</v>
      </c>
      <c r="I31">
        <f t="shared" si="0"/>
        <v>0</v>
      </c>
      <c r="J31">
        <f t="shared" si="1"/>
        <v>0</v>
      </c>
      <c r="K31">
        <f t="shared" si="2"/>
        <v>0</v>
      </c>
      <c r="L31">
        <f t="shared" si="3"/>
        <v>1</v>
      </c>
    </row>
    <row r="32" spans="1:12" x14ac:dyDescent="0.45">
      <c r="A32" t="s">
        <v>9</v>
      </c>
      <c r="B32" t="s">
        <v>1</v>
      </c>
      <c r="C32">
        <v>1</v>
      </c>
      <c r="D32" t="s">
        <v>39</v>
      </c>
      <c r="E32">
        <v>2</v>
      </c>
      <c r="F32" t="s">
        <v>38</v>
      </c>
      <c r="G32" t="s">
        <v>40</v>
      </c>
      <c r="H32" t="s">
        <v>37</v>
      </c>
      <c r="I32">
        <f t="shared" si="0"/>
        <v>1</v>
      </c>
      <c r="J32">
        <f t="shared" si="1"/>
        <v>0</v>
      </c>
      <c r="K32">
        <f t="shared" si="2"/>
        <v>0</v>
      </c>
      <c r="L32">
        <f t="shared" si="3"/>
        <v>1</v>
      </c>
    </row>
    <row r="33" spans="1:13" x14ac:dyDescent="0.45">
      <c r="A33" t="s">
        <v>9</v>
      </c>
      <c r="B33" t="s">
        <v>8</v>
      </c>
      <c r="C33">
        <v>2</v>
      </c>
      <c r="D33" t="s">
        <v>33</v>
      </c>
      <c r="E33">
        <v>4</v>
      </c>
      <c r="F33" t="s">
        <v>38</v>
      </c>
      <c r="G33" t="s">
        <v>40</v>
      </c>
      <c r="H33" t="s">
        <v>37</v>
      </c>
      <c r="I33">
        <f t="shared" si="0"/>
        <v>0</v>
      </c>
      <c r="J33">
        <f t="shared" si="1"/>
        <v>0</v>
      </c>
      <c r="K33">
        <f t="shared" si="2"/>
        <v>0</v>
      </c>
      <c r="L33">
        <f t="shared" si="3"/>
        <v>1</v>
      </c>
    </row>
    <row r="34" spans="1:13" x14ac:dyDescent="0.45">
      <c r="A34" t="s">
        <v>9</v>
      </c>
      <c r="B34" t="s">
        <v>8</v>
      </c>
      <c r="C34">
        <v>2</v>
      </c>
      <c r="D34" t="s">
        <v>5</v>
      </c>
      <c r="E34">
        <v>1</v>
      </c>
      <c r="F34" t="s">
        <v>38</v>
      </c>
      <c r="G34" t="s">
        <v>40</v>
      </c>
      <c r="H34" t="s">
        <v>37</v>
      </c>
      <c r="I34">
        <f t="shared" si="0"/>
        <v>0</v>
      </c>
      <c r="J34">
        <f t="shared" si="1"/>
        <v>0</v>
      </c>
      <c r="K34">
        <f t="shared" si="2"/>
        <v>0</v>
      </c>
      <c r="L34">
        <f t="shared" si="3"/>
        <v>1</v>
      </c>
    </row>
    <row r="35" spans="1:13" x14ac:dyDescent="0.45">
      <c r="A35" t="s">
        <v>9</v>
      </c>
      <c r="B35" t="s">
        <v>1</v>
      </c>
      <c r="C35">
        <v>1</v>
      </c>
      <c r="D35" t="s">
        <v>11</v>
      </c>
      <c r="E35">
        <v>1</v>
      </c>
      <c r="F35" t="s">
        <v>11</v>
      </c>
      <c r="G35" t="s">
        <v>38</v>
      </c>
      <c r="H35" t="s">
        <v>38</v>
      </c>
      <c r="I35">
        <f t="shared" si="0"/>
        <v>0</v>
      </c>
      <c r="J35">
        <f t="shared" si="1"/>
        <v>0</v>
      </c>
      <c r="K35">
        <f t="shared" si="2"/>
        <v>1</v>
      </c>
      <c r="L35">
        <f t="shared" si="3"/>
        <v>0</v>
      </c>
    </row>
    <row r="36" spans="1:13" x14ac:dyDescent="0.45">
      <c r="A36" t="s">
        <v>7</v>
      </c>
      <c r="B36" t="s">
        <v>8</v>
      </c>
      <c r="C36">
        <v>4</v>
      </c>
      <c r="D36" t="s">
        <v>33</v>
      </c>
      <c r="E36">
        <v>4</v>
      </c>
      <c r="F36" t="s">
        <v>37</v>
      </c>
      <c r="G36" t="s">
        <v>38</v>
      </c>
      <c r="H36" t="s">
        <v>37</v>
      </c>
      <c r="I36">
        <f t="shared" si="0"/>
        <v>0</v>
      </c>
      <c r="J36">
        <f t="shared" si="1"/>
        <v>0</v>
      </c>
      <c r="K36">
        <f t="shared" si="2"/>
        <v>1</v>
      </c>
      <c r="L36">
        <f t="shared" si="3"/>
        <v>1</v>
      </c>
    </row>
    <row r="38" spans="1:13" x14ac:dyDescent="0.45">
      <c r="H38" t="s">
        <v>21</v>
      </c>
      <c r="I38">
        <f>AVERAGE(I2:I36)</f>
        <v>0.25714285714285712</v>
      </c>
    </row>
    <row r="39" spans="1:13" x14ac:dyDescent="0.45">
      <c r="H39" t="s">
        <v>23</v>
      </c>
      <c r="J39">
        <f>AVERAGE(J2:J36)</f>
        <v>0.11428571428571428</v>
      </c>
      <c r="K39">
        <f t="shared" ref="K39:L39" si="4">AVERAGE(K2:K36)</f>
        <v>0.31428571428571428</v>
      </c>
      <c r="L39">
        <f t="shared" si="4"/>
        <v>0.88571428571428568</v>
      </c>
    </row>
    <row r="40" spans="1:13" x14ac:dyDescent="0.45">
      <c r="H40" t="s">
        <v>26</v>
      </c>
      <c r="M40">
        <f>AVERAGE(J2:L36)</f>
        <v>0.43809523809523809</v>
      </c>
    </row>
    <row r="42" spans="1:13" x14ac:dyDescent="0.45">
      <c r="H42" t="s">
        <v>27</v>
      </c>
      <c r="I42">
        <f>AVERAGE(E2:E36)</f>
        <v>3.342857142857143</v>
      </c>
    </row>
    <row r="43" spans="1:13" x14ac:dyDescent="0.45">
      <c r="H43" t="s">
        <v>28</v>
      </c>
      <c r="I43">
        <f>_xlfn.STDEV.S(E2:E36)</f>
        <v>1.3271565611543825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977E-E03C-45F9-8E71-6AC6C09F163A}">
  <dimension ref="A1:M38"/>
  <sheetViews>
    <sheetView topLeftCell="B7" workbookViewId="0">
      <selection activeCell="B2" sqref="A2:XFD31"/>
    </sheetView>
  </sheetViews>
  <sheetFormatPr defaultRowHeight="14.25" x14ac:dyDescent="0.45"/>
  <cols>
    <col min="4" max="4" width="17.9296875" bestFit="1" customWidth="1"/>
    <col min="6" max="6" width="13.33203125" bestFit="1" customWidth="1"/>
    <col min="7" max="7" width="14.796875" bestFit="1" customWidth="1"/>
    <col min="8" max="8" width="14.73046875" bestFit="1" customWidth="1"/>
  </cols>
  <sheetData>
    <row r="1" spans="1:12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24</v>
      </c>
      <c r="L1" t="s">
        <v>25</v>
      </c>
    </row>
    <row r="2" spans="1:12" x14ac:dyDescent="0.45">
      <c r="A2" t="s">
        <v>0</v>
      </c>
      <c r="B2" t="s">
        <v>1</v>
      </c>
      <c r="C2">
        <v>2</v>
      </c>
      <c r="D2" t="s">
        <v>2</v>
      </c>
      <c r="E2">
        <v>4</v>
      </c>
      <c r="F2" t="s">
        <v>41</v>
      </c>
      <c r="G2" t="s">
        <v>42</v>
      </c>
      <c r="H2" t="s">
        <v>43</v>
      </c>
      <c r="I2">
        <f>IF(D2="Fear",1,0)</f>
        <v>1</v>
      </c>
      <c r="J2">
        <f>IF(ISNUMBER(SEARCH("Level 3",F2)),1,0)</f>
        <v>0</v>
      </c>
      <c r="K2">
        <f>IF(ISNUMBER(SEARCH("Level 1",G2)),1,0)</f>
        <v>1</v>
      </c>
      <c r="L2">
        <f>IF(ISNUMBER(SEARCH("Level 2",H2)),1,0)</f>
        <v>0</v>
      </c>
    </row>
    <row r="3" spans="1:12" x14ac:dyDescent="0.45">
      <c r="A3" t="s">
        <v>9</v>
      </c>
      <c r="B3" t="s">
        <v>8</v>
      </c>
      <c r="C3">
        <v>4</v>
      </c>
      <c r="D3" t="s">
        <v>5</v>
      </c>
      <c r="E3">
        <v>4</v>
      </c>
      <c r="F3" t="s">
        <v>41</v>
      </c>
      <c r="G3" t="s">
        <v>42</v>
      </c>
      <c r="H3" t="s">
        <v>43</v>
      </c>
      <c r="I3">
        <f t="shared" ref="I3:I31" si="0">IF(D3="Fear",1,0)</f>
        <v>0</v>
      </c>
      <c r="J3">
        <f t="shared" ref="J3:J31" si="1">IF(ISNUMBER(SEARCH("Level 3",F3)),1,0)</f>
        <v>0</v>
      </c>
      <c r="K3">
        <f t="shared" ref="K3:K31" si="2">IF(ISNUMBER(SEARCH("Level 1",G3)),1,0)</f>
        <v>1</v>
      </c>
      <c r="L3">
        <f t="shared" ref="L3:L31" si="3">IF(ISNUMBER(SEARCH("Level 2",H3)),1,0)</f>
        <v>0</v>
      </c>
    </row>
    <row r="4" spans="1:12" x14ac:dyDescent="0.45">
      <c r="A4" t="s">
        <v>0</v>
      </c>
      <c r="B4" t="s">
        <v>1</v>
      </c>
      <c r="C4">
        <v>1</v>
      </c>
      <c r="D4" t="s">
        <v>29</v>
      </c>
      <c r="E4">
        <v>3</v>
      </c>
      <c r="F4" t="s">
        <v>41</v>
      </c>
      <c r="G4" t="s">
        <v>41</v>
      </c>
      <c r="H4" t="s">
        <v>41</v>
      </c>
      <c r="I4">
        <f t="shared" si="0"/>
        <v>0</v>
      </c>
      <c r="J4">
        <f t="shared" si="1"/>
        <v>0</v>
      </c>
      <c r="K4">
        <f t="shared" si="2"/>
        <v>0</v>
      </c>
      <c r="L4">
        <f t="shared" si="3"/>
        <v>1</v>
      </c>
    </row>
    <row r="5" spans="1:12" x14ac:dyDescent="0.45">
      <c r="A5" t="s">
        <v>0</v>
      </c>
      <c r="B5" t="s">
        <v>1</v>
      </c>
      <c r="C5">
        <v>5</v>
      </c>
      <c r="D5" t="s">
        <v>11</v>
      </c>
      <c r="E5">
        <v>2</v>
      </c>
      <c r="F5" t="s">
        <v>41</v>
      </c>
      <c r="G5" t="s">
        <v>42</v>
      </c>
      <c r="H5" t="s">
        <v>42</v>
      </c>
      <c r="I5">
        <f t="shared" si="0"/>
        <v>0</v>
      </c>
      <c r="J5">
        <f t="shared" si="1"/>
        <v>0</v>
      </c>
      <c r="K5">
        <f t="shared" si="2"/>
        <v>1</v>
      </c>
      <c r="L5">
        <f t="shared" si="3"/>
        <v>0</v>
      </c>
    </row>
    <row r="6" spans="1:12" x14ac:dyDescent="0.45">
      <c r="A6" t="s">
        <v>0</v>
      </c>
      <c r="B6" t="s">
        <v>8</v>
      </c>
      <c r="C6">
        <v>4</v>
      </c>
      <c r="D6" t="s">
        <v>2</v>
      </c>
      <c r="E6">
        <v>5</v>
      </c>
      <c r="F6" t="s">
        <v>43</v>
      </c>
      <c r="G6" t="s">
        <v>42</v>
      </c>
      <c r="H6" t="s">
        <v>41</v>
      </c>
      <c r="I6">
        <f t="shared" si="0"/>
        <v>1</v>
      </c>
      <c r="J6">
        <f t="shared" si="1"/>
        <v>1</v>
      </c>
      <c r="K6">
        <f t="shared" si="2"/>
        <v>1</v>
      </c>
      <c r="L6">
        <f t="shared" si="3"/>
        <v>1</v>
      </c>
    </row>
    <row r="7" spans="1:12" x14ac:dyDescent="0.45">
      <c r="A7" t="s">
        <v>0</v>
      </c>
      <c r="B7" t="s">
        <v>1</v>
      </c>
      <c r="C7">
        <v>2</v>
      </c>
      <c r="D7" t="s">
        <v>2</v>
      </c>
      <c r="E7">
        <v>3</v>
      </c>
      <c r="F7" t="s">
        <v>43</v>
      </c>
      <c r="G7" t="s">
        <v>42</v>
      </c>
      <c r="H7" t="s">
        <v>41</v>
      </c>
      <c r="I7">
        <f t="shared" si="0"/>
        <v>1</v>
      </c>
      <c r="J7">
        <f t="shared" si="1"/>
        <v>1</v>
      </c>
      <c r="K7">
        <f t="shared" si="2"/>
        <v>1</v>
      </c>
      <c r="L7">
        <f t="shared" si="3"/>
        <v>1</v>
      </c>
    </row>
    <row r="8" spans="1:12" x14ac:dyDescent="0.45">
      <c r="A8" t="s">
        <v>9</v>
      </c>
      <c r="B8" t="s">
        <v>1</v>
      </c>
      <c r="C8">
        <v>4</v>
      </c>
      <c r="D8" t="s">
        <v>2</v>
      </c>
      <c r="E8">
        <v>4</v>
      </c>
      <c r="F8" t="s">
        <v>43</v>
      </c>
      <c r="G8" t="s">
        <v>42</v>
      </c>
      <c r="H8" t="s">
        <v>41</v>
      </c>
      <c r="I8">
        <f t="shared" si="0"/>
        <v>1</v>
      </c>
      <c r="J8">
        <f t="shared" si="1"/>
        <v>1</v>
      </c>
      <c r="K8">
        <f t="shared" si="2"/>
        <v>1</v>
      </c>
      <c r="L8">
        <f t="shared" si="3"/>
        <v>1</v>
      </c>
    </row>
    <row r="9" spans="1:12" x14ac:dyDescent="0.45">
      <c r="A9" t="s">
        <v>7</v>
      </c>
      <c r="B9" t="s">
        <v>1</v>
      </c>
      <c r="C9">
        <v>4</v>
      </c>
      <c r="D9" t="s">
        <v>2</v>
      </c>
      <c r="E9">
        <v>5</v>
      </c>
      <c r="F9" t="s">
        <v>43</v>
      </c>
      <c r="G9" t="s">
        <v>42</v>
      </c>
      <c r="H9" t="s">
        <v>41</v>
      </c>
      <c r="I9">
        <f t="shared" si="0"/>
        <v>1</v>
      </c>
      <c r="J9">
        <f t="shared" si="1"/>
        <v>1</v>
      </c>
      <c r="K9">
        <f t="shared" si="2"/>
        <v>1</v>
      </c>
      <c r="L9">
        <f t="shared" si="3"/>
        <v>1</v>
      </c>
    </row>
    <row r="10" spans="1:12" x14ac:dyDescent="0.45">
      <c r="A10" t="s">
        <v>0</v>
      </c>
      <c r="B10" t="s">
        <v>1</v>
      </c>
      <c r="C10">
        <v>3</v>
      </c>
      <c r="D10" t="s">
        <v>2</v>
      </c>
      <c r="E10">
        <v>5</v>
      </c>
      <c r="F10" t="s">
        <v>43</v>
      </c>
      <c r="G10" t="s">
        <v>41</v>
      </c>
      <c r="H10" t="s">
        <v>11</v>
      </c>
      <c r="I10">
        <f t="shared" si="0"/>
        <v>1</v>
      </c>
      <c r="J10">
        <f t="shared" si="1"/>
        <v>1</v>
      </c>
      <c r="K10">
        <f t="shared" si="2"/>
        <v>0</v>
      </c>
      <c r="L10">
        <f t="shared" si="3"/>
        <v>0</v>
      </c>
    </row>
    <row r="11" spans="1:12" x14ac:dyDescent="0.45">
      <c r="A11" t="s">
        <v>9</v>
      </c>
      <c r="B11" t="s">
        <v>1</v>
      </c>
      <c r="C11">
        <v>3</v>
      </c>
      <c r="D11" t="s">
        <v>2</v>
      </c>
      <c r="E11">
        <v>5</v>
      </c>
      <c r="F11" t="s">
        <v>43</v>
      </c>
      <c r="G11" t="s">
        <v>42</v>
      </c>
      <c r="H11" t="s">
        <v>41</v>
      </c>
      <c r="I11">
        <f t="shared" si="0"/>
        <v>1</v>
      </c>
      <c r="J11">
        <f t="shared" si="1"/>
        <v>1</v>
      </c>
      <c r="K11">
        <f t="shared" si="2"/>
        <v>1</v>
      </c>
      <c r="L11">
        <f t="shared" si="3"/>
        <v>1</v>
      </c>
    </row>
    <row r="12" spans="1:12" x14ac:dyDescent="0.45">
      <c r="A12" t="s">
        <v>0</v>
      </c>
      <c r="B12" t="s">
        <v>1</v>
      </c>
      <c r="C12">
        <v>2</v>
      </c>
      <c r="D12" t="s">
        <v>2</v>
      </c>
      <c r="E12">
        <v>2</v>
      </c>
      <c r="F12" t="s">
        <v>43</v>
      </c>
      <c r="G12" t="s">
        <v>42</v>
      </c>
      <c r="H12" t="s">
        <v>41</v>
      </c>
      <c r="I12">
        <f t="shared" si="0"/>
        <v>1</v>
      </c>
      <c r="J12">
        <f t="shared" si="1"/>
        <v>1</v>
      </c>
      <c r="K12">
        <f t="shared" si="2"/>
        <v>1</v>
      </c>
      <c r="L12">
        <f t="shared" si="3"/>
        <v>1</v>
      </c>
    </row>
    <row r="13" spans="1:12" x14ac:dyDescent="0.45">
      <c r="A13" t="s">
        <v>0</v>
      </c>
      <c r="B13" t="s">
        <v>8</v>
      </c>
      <c r="C13">
        <v>3</v>
      </c>
      <c r="D13" t="s">
        <v>2</v>
      </c>
      <c r="E13">
        <v>4</v>
      </c>
      <c r="F13" t="s">
        <v>41</v>
      </c>
      <c r="G13" t="s">
        <v>42</v>
      </c>
      <c r="H13" t="s">
        <v>43</v>
      </c>
      <c r="I13">
        <f t="shared" si="0"/>
        <v>1</v>
      </c>
      <c r="J13">
        <f t="shared" si="1"/>
        <v>0</v>
      </c>
      <c r="K13">
        <f t="shared" si="2"/>
        <v>1</v>
      </c>
      <c r="L13">
        <f t="shared" si="3"/>
        <v>0</v>
      </c>
    </row>
    <row r="14" spans="1:12" x14ac:dyDescent="0.45">
      <c r="A14" t="s">
        <v>9</v>
      </c>
      <c r="B14" t="s">
        <v>8</v>
      </c>
      <c r="C14">
        <v>3</v>
      </c>
      <c r="D14" t="s">
        <v>5</v>
      </c>
      <c r="E14">
        <v>4</v>
      </c>
      <c r="F14" t="s">
        <v>43</v>
      </c>
      <c r="G14" t="s">
        <v>42</v>
      </c>
      <c r="H14" t="s">
        <v>41</v>
      </c>
      <c r="I14">
        <f t="shared" si="0"/>
        <v>0</v>
      </c>
      <c r="J14">
        <f t="shared" si="1"/>
        <v>1</v>
      </c>
      <c r="K14">
        <f t="shared" si="2"/>
        <v>1</v>
      </c>
      <c r="L14">
        <f t="shared" si="3"/>
        <v>1</v>
      </c>
    </row>
    <row r="15" spans="1:12" x14ac:dyDescent="0.45">
      <c r="A15" t="s">
        <v>9</v>
      </c>
      <c r="B15" t="s">
        <v>8</v>
      </c>
      <c r="C15">
        <v>4</v>
      </c>
      <c r="D15" t="s">
        <v>2</v>
      </c>
      <c r="E15">
        <v>5</v>
      </c>
      <c r="F15" t="s">
        <v>41</v>
      </c>
      <c r="G15" t="s">
        <v>42</v>
      </c>
      <c r="H15" t="s">
        <v>43</v>
      </c>
      <c r="I15">
        <f t="shared" si="0"/>
        <v>1</v>
      </c>
      <c r="J15">
        <f t="shared" si="1"/>
        <v>0</v>
      </c>
      <c r="K15">
        <f t="shared" si="2"/>
        <v>1</v>
      </c>
      <c r="L15">
        <f t="shared" si="3"/>
        <v>0</v>
      </c>
    </row>
    <row r="16" spans="1:12" x14ac:dyDescent="0.45">
      <c r="A16" t="s">
        <v>9</v>
      </c>
      <c r="B16" t="s">
        <v>8</v>
      </c>
      <c r="C16">
        <v>2</v>
      </c>
      <c r="D16" t="s">
        <v>2</v>
      </c>
      <c r="E16">
        <v>4</v>
      </c>
      <c r="F16" t="s">
        <v>43</v>
      </c>
      <c r="G16" t="s">
        <v>42</v>
      </c>
      <c r="H16" t="s">
        <v>41</v>
      </c>
      <c r="I16">
        <f t="shared" si="0"/>
        <v>1</v>
      </c>
      <c r="J16">
        <f t="shared" si="1"/>
        <v>1</v>
      </c>
      <c r="K16">
        <f t="shared" si="2"/>
        <v>1</v>
      </c>
      <c r="L16">
        <f t="shared" si="3"/>
        <v>1</v>
      </c>
    </row>
    <row r="17" spans="1:12" x14ac:dyDescent="0.45">
      <c r="A17" t="s">
        <v>0</v>
      </c>
      <c r="B17" t="s">
        <v>8</v>
      </c>
      <c r="C17">
        <v>3</v>
      </c>
      <c r="D17" t="s">
        <v>34</v>
      </c>
      <c r="E17">
        <v>4</v>
      </c>
      <c r="F17" t="s">
        <v>43</v>
      </c>
      <c r="G17" t="s">
        <v>42</v>
      </c>
      <c r="H17" t="s">
        <v>41</v>
      </c>
      <c r="I17">
        <f t="shared" si="0"/>
        <v>0</v>
      </c>
      <c r="J17">
        <f t="shared" si="1"/>
        <v>1</v>
      </c>
      <c r="K17">
        <f t="shared" si="2"/>
        <v>1</v>
      </c>
      <c r="L17">
        <f t="shared" si="3"/>
        <v>1</v>
      </c>
    </row>
    <row r="18" spans="1:12" x14ac:dyDescent="0.45">
      <c r="A18" t="s">
        <v>9</v>
      </c>
      <c r="B18" t="s">
        <v>8</v>
      </c>
      <c r="C18">
        <v>5</v>
      </c>
      <c r="D18" t="s">
        <v>2</v>
      </c>
      <c r="E18">
        <v>5</v>
      </c>
      <c r="F18" t="s">
        <v>41</v>
      </c>
      <c r="G18" t="s">
        <v>42</v>
      </c>
      <c r="H18" t="s">
        <v>43</v>
      </c>
      <c r="I18">
        <f t="shared" si="0"/>
        <v>1</v>
      </c>
      <c r="J18">
        <f t="shared" si="1"/>
        <v>0</v>
      </c>
      <c r="K18">
        <f t="shared" si="2"/>
        <v>1</v>
      </c>
      <c r="L18">
        <f t="shared" si="3"/>
        <v>0</v>
      </c>
    </row>
    <row r="19" spans="1:12" x14ac:dyDescent="0.45">
      <c r="A19" t="s">
        <v>9</v>
      </c>
      <c r="B19" t="s">
        <v>1</v>
      </c>
      <c r="C19">
        <v>3</v>
      </c>
      <c r="D19" t="s">
        <v>2</v>
      </c>
      <c r="E19">
        <v>3</v>
      </c>
      <c r="F19" t="s">
        <v>43</v>
      </c>
      <c r="G19" t="s">
        <v>41</v>
      </c>
      <c r="H19" t="s">
        <v>11</v>
      </c>
      <c r="I19">
        <f t="shared" si="0"/>
        <v>1</v>
      </c>
      <c r="J19">
        <f t="shared" si="1"/>
        <v>1</v>
      </c>
      <c r="K19">
        <f t="shared" si="2"/>
        <v>0</v>
      </c>
      <c r="L19">
        <f t="shared" si="3"/>
        <v>0</v>
      </c>
    </row>
    <row r="20" spans="1:12" x14ac:dyDescent="0.45">
      <c r="A20" t="s">
        <v>9</v>
      </c>
      <c r="B20" t="s">
        <v>1</v>
      </c>
      <c r="C20">
        <v>5</v>
      </c>
      <c r="D20" t="s">
        <v>2</v>
      </c>
      <c r="E20">
        <v>5</v>
      </c>
      <c r="F20" t="s">
        <v>43</v>
      </c>
      <c r="G20" t="s">
        <v>42</v>
      </c>
      <c r="H20" t="s">
        <v>41</v>
      </c>
      <c r="I20">
        <f t="shared" si="0"/>
        <v>1</v>
      </c>
      <c r="J20">
        <f t="shared" si="1"/>
        <v>1</v>
      </c>
      <c r="K20">
        <f t="shared" si="2"/>
        <v>1</v>
      </c>
      <c r="L20">
        <f t="shared" si="3"/>
        <v>1</v>
      </c>
    </row>
    <row r="21" spans="1:12" x14ac:dyDescent="0.45">
      <c r="A21" t="s">
        <v>7</v>
      </c>
      <c r="B21" t="s">
        <v>1</v>
      </c>
      <c r="C21">
        <v>1</v>
      </c>
      <c r="D21" t="s">
        <v>11</v>
      </c>
      <c r="E21">
        <v>1</v>
      </c>
      <c r="F21" t="s">
        <v>41</v>
      </c>
      <c r="G21" t="s">
        <v>42</v>
      </c>
      <c r="H21" t="s">
        <v>41</v>
      </c>
      <c r="I21">
        <f t="shared" si="0"/>
        <v>0</v>
      </c>
      <c r="J21">
        <f t="shared" si="1"/>
        <v>0</v>
      </c>
      <c r="K21">
        <f t="shared" si="2"/>
        <v>1</v>
      </c>
      <c r="L21">
        <f t="shared" si="3"/>
        <v>1</v>
      </c>
    </row>
    <row r="22" spans="1:12" x14ac:dyDescent="0.45">
      <c r="A22" t="s">
        <v>7</v>
      </c>
      <c r="B22" t="s">
        <v>1</v>
      </c>
      <c r="C22">
        <v>1</v>
      </c>
      <c r="D22" t="s">
        <v>2</v>
      </c>
      <c r="E22">
        <v>5</v>
      </c>
      <c r="F22" t="s">
        <v>41</v>
      </c>
      <c r="G22" t="s">
        <v>42</v>
      </c>
      <c r="H22" t="s">
        <v>41</v>
      </c>
      <c r="I22">
        <f t="shared" si="0"/>
        <v>1</v>
      </c>
      <c r="J22">
        <f t="shared" si="1"/>
        <v>0</v>
      </c>
      <c r="K22">
        <f t="shared" si="2"/>
        <v>1</v>
      </c>
      <c r="L22">
        <f t="shared" si="3"/>
        <v>1</v>
      </c>
    </row>
    <row r="23" spans="1:12" x14ac:dyDescent="0.45">
      <c r="A23" t="s">
        <v>7</v>
      </c>
      <c r="B23" t="s">
        <v>8</v>
      </c>
      <c r="C23">
        <v>1</v>
      </c>
      <c r="D23" t="s">
        <v>2</v>
      </c>
      <c r="E23">
        <v>5</v>
      </c>
      <c r="F23" t="s">
        <v>41</v>
      </c>
      <c r="G23" t="s">
        <v>41</v>
      </c>
      <c r="H23" t="s">
        <v>43</v>
      </c>
      <c r="I23">
        <f t="shared" si="0"/>
        <v>1</v>
      </c>
      <c r="J23">
        <f t="shared" si="1"/>
        <v>0</v>
      </c>
      <c r="K23">
        <f t="shared" si="2"/>
        <v>0</v>
      </c>
      <c r="L23">
        <f t="shared" si="3"/>
        <v>0</v>
      </c>
    </row>
    <row r="24" spans="1:12" x14ac:dyDescent="0.45">
      <c r="A24" t="s">
        <v>9</v>
      </c>
      <c r="B24" t="s">
        <v>8</v>
      </c>
      <c r="C24">
        <v>2</v>
      </c>
      <c r="D24" t="s">
        <v>2</v>
      </c>
      <c r="E24">
        <v>5</v>
      </c>
      <c r="F24" t="s">
        <v>41</v>
      </c>
      <c r="G24" t="s">
        <v>42</v>
      </c>
      <c r="H24" t="s">
        <v>41</v>
      </c>
      <c r="I24">
        <f t="shared" si="0"/>
        <v>1</v>
      </c>
      <c r="J24">
        <f t="shared" si="1"/>
        <v>0</v>
      </c>
      <c r="K24">
        <f t="shared" si="2"/>
        <v>1</v>
      </c>
      <c r="L24">
        <f t="shared" si="3"/>
        <v>1</v>
      </c>
    </row>
    <row r="25" spans="1:12" x14ac:dyDescent="0.45">
      <c r="A25" t="s">
        <v>0</v>
      </c>
      <c r="B25" t="s">
        <v>8</v>
      </c>
      <c r="C25">
        <v>1</v>
      </c>
      <c r="D25" t="s">
        <v>5</v>
      </c>
      <c r="E25">
        <v>2</v>
      </c>
      <c r="F25" t="s">
        <v>41</v>
      </c>
      <c r="G25" t="s">
        <v>42</v>
      </c>
      <c r="H25" t="s">
        <v>43</v>
      </c>
      <c r="I25">
        <f t="shared" si="0"/>
        <v>0</v>
      </c>
      <c r="J25">
        <f t="shared" si="1"/>
        <v>0</v>
      </c>
      <c r="K25">
        <f t="shared" si="2"/>
        <v>1</v>
      </c>
      <c r="L25">
        <f t="shared" si="3"/>
        <v>0</v>
      </c>
    </row>
    <row r="26" spans="1:12" x14ac:dyDescent="0.45">
      <c r="A26" t="s">
        <v>9</v>
      </c>
      <c r="B26" t="s">
        <v>8</v>
      </c>
      <c r="C26">
        <v>2</v>
      </c>
      <c r="D26" t="s">
        <v>5</v>
      </c>
      <c r="E26">
        <v>3</v>
      </c>
      <c r="F26" t="s">
        <v>41</v>
      </c>
      <c r="G26" t="s">
        <v>42</v>
      </c>
      <c r="H26" t="s">
        <v>43</v>
      </c>
      <c r="I26">
        <f t="shared" si="0"/>
        <v>0</v>
      </c>
      <c r="J26">
        <f t="shared" si="1"/>
        <v>0</v>
      </c>
      <c r="K26">
        <f t="shared" si="2"/>
        <v>1</v>
      </c>
      <c r="L26">
        <f t="shared" si="3"/>
        <v>0</v>
      </c>
    </row>
    <row r="27" spans="1:12" x14ac:dyDescent="0.45">
      <c r="A27" t="s">
        <v>9</v>
      </c>
      <c r="B27" t="s">
        <v>8</v>
      </c>
      <c r="C27">
        <v>1</v>
      </c>
      <c r="D27" t="s">
        <v>2</v>
      </c>
      <c r="E27">
        <v>5</v>
      </c>
      <c r="F27" t="s">
        <v>43</v>
      </c>
      <c r="G27" t="s">
        <v>42</v>
      </c>
      <c r="H27" t="s">
        <v>41</v>
      </c>
      <c r="I27">
        <f t="shared" si="0"/>
        <v>1</v>
      </c>
      <c r="J27">
        <f t="shared" si="1"/>
        <v>1</v>
      </c>
      <c r="K27">
        <f t="shared" si="2"/>
        <v>1</v>
      </c>
      <c r="L27">
        <f t="shared" si="3"/>
        <v>1</v>
      </c>
    </row>
    <row r="28" spans="1:12" x14ac:dyDescent="0.45">
      <c r="A28" t="s">
        <v>9</v>
      </c>
      <c r="B28" t="s">
        <v>1</v>
      </c>
      <c r="C28">
        <v>1</v>
      </c>
      <c r="D28" t="s">
        <v>11</v>
      </c>
      <c r="E28">
        <v>1</v>
      </c>
      <c r="F28" t="s">
        <v>43</v>
      </c>
      <c r="G28" t="s">
        <v>42</v>
      </c>
      <c r="H28" t="s">
        <v>41</v>
      </c>
      <c r="I28">
        <f t="shared" si="0"/>
        <v>0</v>
      </c>
      <c r="J28">
        <f t="shared" si="1"/>
        <v>1</v>
      </c>
      <c r="K28">
        <f t="shared" si="2"/>
        <v>1</v>
      </c>
      <c r="L28">
        <f t="shared" si="3"/>
        <v>1</v>
      </c>
    </row>
    <row r="29" spans="1:12" x14ac:dyDescent="0.45">
      <c r="A29" t="s">
        <v>9</v>
      </c>
      <c r="B29" t="s">
        <v>1</v>
      </c>
      <c r="C29">
        <v>3</v>
      </c>
      <c r="D29" t="s">
        <v>2</v>
      </c>
      <c r="E29">
        <v>5</v>
      </c>
      <c r="F29" t="s">
        <v>43</v>
      </c>
      <c r="G29" t="s">
        <v>42</v>
      </c>
      <c r="H29" t="s">
        <v>41</v>
      </c>
      <c r="I29">
        <f t="shared" si="0"/>
        <v>1</v>
      </c>
      <c r="J29">
        <f t="shared" si="1"/>
        <v>1</v>
      </c>
      <c r="K29">
        <f t="shared" si="2"/>
        <v>1</v>
      </c>
      <c r="L29">
        <f t="shared" si="3"/>
        <v>1</v>
      </c>
    </row>
    <row r="30" spans="1:12" x14ac:dyDescent="0.45">
      <c r="A30" t="s">
        <v>0</v>
      </c>
      <c r="B30" t="s">
        <v>8</v>
      </c>
      <c r="C30">
        <v>2</v>
      </c>
      <c r="D30" t="s">
        <v>5</v>
      </c>
      <c r="E30">
        <v>4</v>
      </c>
      <c r="F30" t="s">
        <v>43</v>
      </c>
      <c r="G30" t="s">
        <v>42</v>
      </c>
      <c r="H30" t="s">
        <v>41</v>
      </c>
      <c r="I30">
        <f t="shared" si="0"/>
        <v>0</v>
      </c>
      <c r="J30">
        <f t="shared" si="1"/>
        <v>1</v>
      </c>
      <c r="K30">
        <f t="shared" si="2"/>
        <v>1</v>
      </c>
      <c r="L30">
        <f t="shared" si="3"/>
        <v>1</v>
      </c>
    </row>
    <row r="31" spans="1:12" x14ac:dyDescent="0.45">
      <c r="A31" t="s">
        <v>9</v>
      </c>
      <c r="B31" t="s">
        <v>1</v>
      </c>
      <c r="C31">
        <v>3</v>
      </c>
      <c r="D31" t="s">
        <v>2</v>
      </c>
      <c r="E31">
        <v>5</v>
      </c>
      <c r="F31" t="s">
        <v>43</v>
      </c>
      <c r="G31" t="s">
        <v>42</v>
      </c>
      <c r="H31" t="s">
        <v>41</v>
      </c>
      <c r="I31">
        <f t="shared" si="0"/>
        <v>1</v>
      </c>
      <c r="J31">
        <f t="shared" si="1"/>
        <v>1</v>
      </c>
      <c r="K31">
        <f t="shared" si="2"/>
        <v>1</v>
      </c>
      <c r="L31">
        <f t="shared" si="3"/>
        <v>1</v>
      </c>
    </row>
    <row r="33" spans="8:13" x14ac:dyDescent="0.45">
      <c r="H33" t="s">
        <v>21</v>
      </c>
      <c r="I33">
        <f>AVERAGE(I2:I31)</f>
        <v>0.66666666666666663</v>
      </c>
    </row>
    <row r="34" spans="8:13" x14ac:dyDescent="0.45">
      <c r="H34" t="s">
        <v>23</v>
      </c>
      <c r="J34">
        <f>AVERAGE(J2:J31)</f>
        <v>0.56666666666666665</v>
      </c>
      <c r="K34">
        <f t="shared" ref="K34:L34" si="4">AVERAGE(K2:K31)</f>
        <v>0.8666666666666667</v>
      </c>
      <c r="L34">
        <f t="shared" si="4"/>
        <v>0.6333333333333333</v>
      </c>
    </row>
    <row r="35" spans="8:13" x14ac:dyDescent="0.45">
      <c r="H35" t="s">
        <v>26</v>
      </c>
      <c r="M35">
        <f>AVERAGE(J2:L31)</f>
        <v>0.68888888888888888</v>
      </c>
    </row>
    <row r="37" spans="8:13" x14ac:dyDescent="0.45">
      <c r="H37" t="s">
        <v>27</v>
      </c>
      <c r="I37">
        <f>AVERAGE(E2:E31)</f>
        <v>3.9</v>
      </c>
    </row>
    <row r="38" spans="8:13" x14ac:dyDescent="0.45">
      <c r="H38" t="s">
        <v>28</v>
      </c>
      <c r="I38">
        <f>_xlfn.STDEV.S(E2:E31)</f>
        <v>1.2689936278745479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2251-4744-4835-A0B3-743E6AAC260A}">
  <dimension ref="A1:M36"/>
  <sheetViews>
    <sheetView topLeftCell="A19" workbookViewId="0">
      <selection activeCell="A29" sqref="A2:XFD29"/>
    </sheetView>
  </sheetViews>
  <sheetFormatPr defaultRowHeight="14.25" x14ac:dyDescent="0.45"/>
  <cols>
    <col min="6" max="6" width="15.3984375" bestFit="1" customWidth="1"/>
    <col min="7" max="8" width="20.59765625" bestFit="1" customWidth="1"/>
  </cols>
  <sheetData>
    <row r="1" spans="1:12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24</v>
      </c>
      <c r="L1" t="s">
        <v>25</v>
      </c>
    </row>
    <row r="2" spans="1:12" x14ac:dyDescent="0.45">
      <c r="A2" t="s">
        <v>9</v>
      </c>
      <c r="B2" t="s">
        <v>1</v>
      </c>
      <c r="C2">
        <v>3</v>
      </c>
      <c r="D2" t="s">
        <v>34</v>
      </c>
      <c r="E2">
        <v>5</v>
      </c>
      <c r="F2" t="s">
        <v>44</v>
      </c>
      <c r="G2" t="s">
        <v>45</v>
      </c>
      <c r="H2" t="s">
        <v>11</v>
      </c>
      <c r="I2">
        <f>IF(D2="Joy",1,0)</f>
        <v>1</v>
      </c>
      <c r="J2">
        <f>IF(ISNUMBER(SEARCH("Level 3",F2)),1,0)</f>
        <v>1</v>
      </c>
      <c r="K2">
        <f>IF(ISNUMBER(SEARCH("Level 2",G2)),1,0)</f>
        <v>0</v>
      </c>
      <c r="L2">
        <f>IF(ISNUMBER(SEARCH("Level 1",H2)),1,0)</f>
        <v>0</v>
      </c>
    </row>
    <row r="3" spans="1:12" x14ac:dyDescent="0.45">
      <c r="A3" t="s">
        <v>9</v>
      </c>
      <c r="B3" t="s">
        <v>8</v>
      </c>
      <c r="C3">
        <v>1</v>
      </c>
      <c r="D3" t="s">
        <v>5</v>
      </c>
      <c r="E3">
        <v>4</v>
      </c>
      <c r="F3" t="s">
        <v>44</v>
      </c>
      <c r="G3" t="s">
        <v>45</v>
      </c>
      <c r="H3" t="s">
        <v>11</v>
      </c>
      <c r="I3">
        <f t="shared" ref="I3:I29" si="0">IF(D3="Joy",1,0)</f>
        <v>0</v>
      </c>
      <c r="J3">
        <f t="shared" ref="J3:J29" si="1">IF(ISNUMBER(SEARCH("Level 3",F3)),1,0)</f>
        <v>1</v>
      </c>
      <c r="K3">
        <f t="shared" ref="K3:K29" si="2">IF(ISNUMBER(SEARCH("Level 2",G3)),1,0)</f>
        <v>0</v>
      </c>
      <c r="L3">
        <f t="shared" ref="L3:L29" si="3">IF(ISNUMBER(SEARCH("Level 1",H3)),1,0)</f>
        <v>0</v>
      </c>
    </row>
    <row r="4" spans="1:12" x14ac:dyDescent="0.45">
      <c r="A4" t="s">
        <v>0</v>
      </c>
      <c r="B4" t="s">
        <v>8</v>
      </c>
      <c r="C4">
        <v>4</v>
      </c>
      <c r="D4" t="s">
        <v>34</v>
      </c>
      <c r="E4">
        <v>5</v>
      </c>
      <c r="F4" t="s">
        <v>44</v>
      </c>
      <c r="G4" t="s">
        <v>46</v>
      </c>
      <c r="H4" t="s">
        <v>45</v>
      </c>
      <c r="I4">
        <f t="shared" si="0"/>
        <v>1</v>
      </c>
      <c r="J4">
        <f t="shared" si="1"/>
        <v>1</v>
      </c>
      <c r="K4">
        <f t="shared" si="2"/>
        <v>1</v>
      </c>
      <c r="L4">
        <f t="shared" si="3"/>
        <v>1</v>
      </c>
    </row>
    <row r="5" spans="1:12" x14ac:dyDescent="0.45">
      <c r="A5" t="s">
        <v>7</v>
      </c>
      <c r="B5" t="s">
        <v>1</v>
      </c>
      <c r="C5">
        <v>3</v>
      </c>
      <c r="D5" t="s">
        <v>33</v>
      </c>
      <c r="E5">
        <v>3</v>
      </c>
      <c r="F5" t="s">
        <v>44</v>
      </c>
      <c r="G5" t="s">
        <v>45</v>
      </c>
      <c r="H5" t="s">
        <v>45</v>
      </c>
      <c r="I5">
        <f t="shared" si="0"/>
        <v>0</v>
      </c>
      <c r="J5">
        <f t="shared" si="1"/>
        <v>1</v>
      </c>
      <c r="K5">
        <f t="shared" si="2"/>
        <v>0</v>
      </c>
      <c r="L5">
        <f t="shared" si="3"/>
        <v>1</v>
      </c>
    </row>
    <row r="6" spans="1:12" x14ac:dyDescent="0.45">
      <c r="A6" t="s">
        <v>0</v>
      </c>
      <c r="B6" t="s">
        <v>1</v>
      </c>
      <c r="C6">
        <v>2</v>
      </c>
      <c r="D6" t="s">
        <v>2</v>
      </c>
      <c r="E6">
        <v>4</v>
      </c>
      <c r="F6" t="s">
        <v>44</v>
      </c>
      <c r="G6" t="s">
        <v>45</v>
      </c>
      <c r="H6" t="s">
        <v>11</v>
      </c>
      <c r="I6">
        <f t="shared" si="0"/>
        <v>0</v>
      </c>
      <c r="J6">
        <f t="shared" si="1"/>
        <v>1</v>
      </c>
      <c r="K6">
        <f t="shared" si="2"/>
        <v>0</v>
      </c>
      <c r="L6">
        <f t="shared" si="3"/>
        <v>0</v>
      </c>
    </row>
    <row r="7" spans="1:12" x14ac:dyDescent="0.45">
      <c r="A7" t="s">
        <v>0</v>
      </c>
      <c r="B7" t="s">
        <v>1</v>
      </c>
      <c r="C7">
        <v>3</v>
      </c>
      <c r="D7" t="s">
        <v>34</v>
      </c>
      <c r="E7">
        <v>3</v>
      </c>
      <c r="F7" t="s">
        <v>46</v>
      </c>
      <c r="G7" t="s">
        <v>11</v>
      </c>
      <c r="H7" t="s">
        <v>44</v>
      </c>
      <c r="I7">
        <f t="shared" si="0"/>
        <v>1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 x14ac:dyDescent="0.45">
      <c r="A8" t="s">
        <v>9</v>
      </c>
      <c r="B8" t="s">
        <v>8</v>
      </c>
      <c r="C8">
        <v>2</v>
      </c>
      <c r="D8" t="s">
        <v>5</v>
      </c>
      <c r="E8">
        <v>4</v>
      </c>
      <c r="F8" t="s">
        <v>44</v>
      </c>
      <c r="G8" t="s">
        <v>45</v>
      </c>
      <c r="H8" t="s">
        <v>11</v>
      </c>
      <c r="I8">
        <f t="shared" si="0"/>
        <v>0</v>
      </c>
      <c r="J8">
        <f t="shared" si="1"/>
        <v>1</v>
      </c>
      <c r="K8">
        <f t="shared" si="2"/>
        <v>0</v>
      </c>
      <c r="L8">
        <f t="shared" si="3"/>
        <v>0</v>
      </c>
    </row>
    <row r="9" spans="1:12" x14ac:dyDescent="0.45">
      <c r="A9" t="s">
        <v>9</v>
      </c>
      <c r="B9" t="s">
        <v>1</v>
      </c>
      <c r="C9">
        <v>3</v>
      </c>
      <c r="D9" t="s">
        <v>34</v>
      </c>
      <c r="E9">
        <v>5</v>
      </c>
      <c r="F9" t="s">
        <v>44</v>
      </c>
      <c r="G9" t="s">
        <v>45</v>
      </c>
      <c r="H9" t="s">
        <v>46</v>
      </c>
      <c r="I9">
        <f t="shared" si="0"/>
        <v>1</v>
      </c>
      <c r="J9">
        <f t="shared" si="1"/>
        <v>1</v>
      </c>
      <c r="K9">
        <f t="shared" si="2"/>
        <v>0</v>
      </c>
      <c r="L9">
        <f t="shared" si="3"/>
        <v>0</v>
      </c>
    </row>
    <row r="10" spans="1:12" x14ac:dyDescent="0.45">
      <c r="A10" t="s">
        <v>0</v>
      </c>
      <c r="B10" t="s">
        <v>1</v>
      </c>
      <c r="C10">
        <v>4</v>
      </c>
      <c r="D10" t="s">
        <v>2</v>
      </c>
      <c r="E10">
        <v>4</v>
      </c>
      <c r="F10" t="s">
        <v>11</v>
      </c>
      <c r="G10" t="s">
        <v>44</v>
      </c>
      <c r="H10" t="s">
        <v>46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0</v>
      </c>
    </row>
    <row r="11" spans="1:12" x14ac:dyDescent="0.45">
      <c r="A11" t="s">
        <v>0</v>
      </c>
      <c r="B11" t="s">
        <v>1</v>
      </c>
      <c r="C11">
        <v>4</v>
      </c>
      <c r="D11" t="s">
        <v>2</v>
      </c>
      <c r="E11">
        <v>4</v>
      </c>
      <c r="F11" t="s">
        <v>11</v>
      </c>
      <c r="G11" t="s">
        <v>44</v>
      </c>
      <c r="H11" t="s">
        <v>45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1</v>
      </c>
    </row>
    <row r="12" spans="1:12" x14ac:dyDescent="0.45">
      <c r="A12" t="s">
        <v>0</v>
      </c>
      <c r="B12" t="s">
        <v>1</v>
      </c>
      <c r="C12">
        <v>1</v>
      </c>
      <c r="D12" t="s">
        <v>33</v>
      </c>
      <c r="E12">
        <v>4</v>
      </c>
      <c r="F12" t="s">
        <v>44</v>
      </c>
      <c r="G12" t="s">
        <v>45</v>
      </c>
      <c r="H12" t="s">
        <v>46</v>
      </c>
      <c r="I12">
        <f t="shared" si="0"/>
        <v>0</v>
      </c>
      <c r="J12">
        <f t="shared" si="1"/>
        <v>1</v>
      </c>
      <c r="K12">
        <f t="shared" si="2"/>
        <v>0</v>
      </c>
      <c r="L12">
        <f t="shared" si="3"/>
        <v>0</v>
      </c>
    </row>
    <row r="13" spans="1:12" x14ac:dyDescent="0.45">
      <c r="A13" t="s">
        <v>9</v>
      </c>
      <c r="B13" t="s">
        <v>8</v>
      </c>
      <c r="C13">
        <v>2</v>
      </c>
      <c r="D13" t="s">
        <v>34</v>
      </c>
      <c r="E13">
        <v>4</v>
      </c>
      <c r="F13" t="s">
        <v>44</v>
      </c>
      <c r="G13" t="s">
        <v>45</v>
      </c>
      <c r="H13" t="s">
        <v>46</v>
      </c>
      <c r="I13">
        <f t="shared" si="0"/>
        <v>1</v>
      </c>
      <c r="J13">
        <f t="shared" si="1"/>
        <v>1</v>
      </c>
      <c r="K13">
        <f t="shared" si="2"/>
        <v>0</v>
      </c>
      <c r="L13">
        <f t="shared" si="3"/>
        <v>0</v>
      </c>
    </row>
    <row r="14" spans="1:12" x14ac:dyDescent="0.45">
      <c r="A14" t="s">
        <v>9</v>
      </c>
      <c r="B14" t="s">
        <v>8</v>
      </c>
      <c r="C14">
        <v>2</v>
      </c>
      <c r="D14" t="s">
        <v>39</v>
      </c>
      <c r="E14">
        <v>5</v>
      </c>
      <c r="F14" t="s">
        <v>44</v>
      </c>
      <c r="G14" t="s">
        <v>46</v>
      </c>
      <c r="H14" t="s">
        <v>45</v>
      </c>
      <c r="I14">
        <f t="shared" si="0"/>
        <v>0</v>
      </c>
      <c r="J14">
        <f t="shared" si="1"/>
        <v>1</v>
      </c>
      <c r="K14">
        <f t="shared" si="2"/>
        <v>1</v>
      </c>
      <c r="L14">
        <f t="shared" si="3"/>
        <v>1</v>
      </c>
    </row>
    <row r="15" spans="1:12" x14ac:dyDescent="0.45">
      <c r="A15" t="s">
        <v>7</v>
      </c>
      <c r="B15" t="s">
        <v>8</v>
      </c>
      <c r="C15">
        <v>3</v>
      </c>
      <c r="D15" t="s">
        <v>2</v>
      </c>
      <c r="E15">
        <v>5</v>
      </c>
      <c r="F15" t="s">
        <v>44</v>
      </c>
      <c r="G15" t="s">
        <v>45</v>
      </c>
      <c r="H15" t="s">
        <v>46</v>
      </c>
      <c r="I15">
        <f t="shared" si="0"/>
        <v>0</v>
      </c>
      <c r="J15">
        <f t="shared" si="1"/>
        <v>1</v>
      </c>
      <c r="K15">
        <f t="shared" si="2"/>
        <v>0</v>
      </c>
      <c r="L15">
        <f t="shared" si="3"/>
        <v>0</v>
      </c>
    </row>
    <row r="16" spans="1:12" x14ac:dyDescent="0.45">
      <c r="A16" t="s">
        <v>0</v>
      </c>
      <c r="B16" t="s">
        <v>1</v>
      </c>
      <c r="C16">
        <v>3</v>
      </c>
      <c r="D16" t="s">
        <v>34</v>
      </c>
      <c r="E16">
        <v>4</v>
      </c>
      <c r="F16" t="s">
        <v>44</v>
      </c>
      <c r="G16" t="s">
        <v>46</v>
      </c>
      <c r="H16" t="s">
        <v>45</v>
      </c>
      <c r="I16">
        <f t="shared" si="0"/>
        <v>1</v>
      </c>
      <c r="J16">
        <f t="shared" si="1"/>
        <v>1</v>
      </c>
      <c r="K16">
        <f t="shared" si="2"/>
        <v>1</v>
      </c>
      <c r="L16">
        <f t="shared" si="3"/>
        <v>1</v>
      </c>
    </row>
    <row r="17" spans="1:12" x14ac:dyDescent="0.45">
      <c r="A17" t="s">
        <v>9</v>
      </c>
      <c r="B17" t="s">
        <v>1</v>
      </c>
      <c r="C17">
        <v>5</v>
      </c>
      <c r="D17" t="s">
        <v>34</v>
      </c>
      <c r="E17">
        <v>5</v>
      </c>
      <c r="F17" t="s">
        <v>44</v>
      </c>
      <c r="G17" t="s">
        <v>46</v>
      </c>
      <c r="H17" t="s">
        <v>45</v>
      </c>
      <c r="I17">
        <f t="shared" si="0"/>
        <v>1</v>
      </c>
      <c r="J17">
        <f t="shared" si="1"/>
        <v>1</v>
      </c>
      <c r="K17">
        <f t="shared" si="2"/>
        <v>1</v>
      </c>
      <c r="L17">
        <f t="shared" si="3"/>
        <v>1</v>
      </c>
    </row>
    <row r="18" spans="1:12" x14ac:dyDescent="0.45">
      <c r="A18" t="s">
        <v>7</v>
      </c>
      <c r="B18" t="s">
        <v>8</v>
      </c>
      <c r="C18">
        <v>1</v>
      </c>
      <c r="D18" t="s">
        <v>11</v>
      </c>
      <c r="E18">
        <v>1</v>
      </c>
      <c r="F18" t="s">
        <v>46</v>
      </c>
      <c r="G18" t="s">
        <v>11</v>
      </c>
      <c r="H18" t="s">
        <v>45</v>
      </c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1</v>
      </c>
    </row>
    <row r="19" spans="1:12" x14ac:dyDescent="0.45">
      <c r="A19" t="s">
        <v>35</v>
      </c>
      <c r="B19" t="s">
        <v>8</v>
      </c>
      <c r="C19">
        <v>2</v>
      </c>
      <c r="D19" t="s">
        <v>33</v>
      </c>
      <c r="E19">
        <v>4</v>
      </c>
      <c r="F19" t="s">
        <v>44</v>
      </c>
      <c r="G19" t="s">
        <v>45</v>
      </c>
      <c r="H19" t="s">
        <v>11</v>
      </c>
      <c r="I19">
        <f t="shared" si="0"/>
        <v>0</v>
      </c>
      <c r="J19">
        <f t="shared" si="1"/>
        <v>1</v>
      </c>
      <c r="K19">
        <f t="shared" si="2"/>
        <v>0</v>
      </c>
      <c r="L19">
        <f t="shared" si="3"/>
        <v>0</v>
      </c>
    </row>
    <row r="20" spans="1:12" x14ac:dyDescent="0.45">
      <c r="A20" t="s">
        <v>35</v>
      </c>
      <c r="B20" t="s">
        <v>8</v>
      </c>
      <c r="C20">
        <v>2</v>
      </c>
      <c r="D20" t="s">
        <v>34</v>
      </c>
      <c r="E20">
        <v>4</v>
      </c>
      <c r="F20" t="s">
        <v>44</v>
      </c>
      <c r="G20" t="s">
        <v>45</v>
      </c>
      <c r="H20" t="s">
        <v>11</v>
      </c>
      <c r="I20">
        <f t="shared" si="0"/>
        <v>1</v>
      </c>
      <c r="J20">
        <f t="shared" si="1"/>
        <v>1</v>
      </c>
      <c r="K20">
        <f t="shared" si="2"/>
        <v>0</v>
      </c>
      <c r="L20">
        <f t="shared" si="3"/>
        <v>0</v>
      </c>
    </row>
    <row r="21" spans="1:12" x14ac:dyDescent="0.45">
      <c r="A21" t="s">
        <v>7</v>
      </c>
      <c r="B21" t="s">
        <v>8</v>
      </c>
      <c r="C21">
        <v>1</v>
      </c>
      <c r="D21" t="s">
        <v>34</v>
      </c>
      <c r="E21">
        <v>5</v>
      </c>
      <c r="F21" t="s">
        <v>46</v>
      </c>
      <c r="G21" t="s">
        <v>45</v>
      </c>
      <c r="H21" t="s">
        <v>45</v>
      </c>
      <c r="I21">
        <f t="shared" si="0"/>
        <v>1</v>
      </c>
      <c r="J21">
        <f t="shared" si="1"/>
        <v>0</v>
      </c>
      <c r="K21">
        <f t="shared" si="2"/>
        <v>0</v>
      </c>
      <c r="L21">
        <f t="shared" si="3"/>
        <v>1</v>
      </c>
    </row>
    <row r="22" spans="1:12" x14ac:dyDescent="0.45">
      <c r="A22" t="s">
        <v>7</v>
      </c>
      <c r="B22" t="s">
        <v>8</v>
      </c>
      <c r="C22">
        <v>1</v>
      </c>
      <c r="D22" t="s">
        <v>34</v>
      </c>
      <c r="E22">
        <v>5</v>
      </c>
      <c r="F22" t="s">
        <v>44</v>
      </c>
      <c r="G22" t="s">
        <v>11</v>
      </c>
      <c r="H22" t="s">
        <v>46</v>
      </c>
      <c r="I22">
        <f t="shared" si="0"/>
        <v>1</v>
      </c>
      <c r="J22">
        <f t="shared" si="1"/>
        <v>1</v>
      </c>
      <c r="K22">
        <f t="shared" si="2"/>
        <v>0</v>
      </c>
      <c r="L22">
        <f t="shared" si="3"/>
        <v>0</v>
      </c>
    </row>
    <row r="23" spans="1:12" x14ac:dyDescent="0.45">
      <c r="A23" t="s">
        <v>7</v>
      </c>
      <c r="B23" t="s">
        <v>1</v>
      </c>
      <c r="C23">
        <v>1</v>
      </c>
      <c r="D23" t="s">
        <v>34</v>
      </c>
      <c r="E23">
        <v>3</v>
      </c>
      <c r="F23" t="s">
        <v>44</v>
      </c>
      <c r="G23" t="s">
        <v>46</v>
      </c>
      <c r="H23" t="s">
        <v>45</v>
      </c>
      <c r="I23">
        <f t="shared" si="0"/>
        <v>1</v>
      </c>
      <c r="J23">
        <f t="shared" si="1"/>
        <v>1</v>
      </c>
      <c r="K23">
        <f t="shared" si="2"/>
        <v>1</v>
      </c>
      <c r="L23">
        <f t="shared" si="3"/>
        <v>1</v>
      </c>
    </row>
    <row r="24" spans="1:12" x14ac:dyDescent="0.45">
      <c r="A24" t="s">
        <v>9</v>
      </c>
      <c r="B24" t="s">
        <v>8</v>
      </c>
      <c r="C24">
        <v>2</v>
      </c>
      <c r="D24" t="s">
        <v>47</v>
      </c>
      <c r="E24">
        <v>4</v>
      </c>
      <c r="F24" t="s">
        <v>44</v>
      </c>
      <c r="G24" t="s">
        <v>46</v>
      </c>
      <c r="H24" t="s">
        <v>46</v>
      </c>
      <c r="I24">
        <f t="shared" si="0"/>
        <v>0</v>
      </c>
      <c r="J24">
        <f t="shared" si="1"/>
        <v>1</v>
      </c>
      <c r="K24">
        <f t="shared" si="2"/>
        <v>1</v>
      </c>
      <c r="L24">
        <f t="shared" si="3"/>
        <v>0</v>
      </c>
    </row>
    <row r="25" spans="1:12" x14ac:dyDescent="0.45">
      <c r="A25" t="s">
        <v>9</v>
      </c>
      <c r="B25" t="s">
        <v>8</v>
      </c>
      <c r="C25">
        <v>1</v>
      </c>
      <c r="D25" t="s">
        <v>33</v>
      </c>
      <c r="E25">
        <v>5</v>
      </c>
      <c r="F25" t="s">
        <v>46</v>
      </c>
      <c r="G25" t="s">
        <v>45</v>
      </c>
      <c r="H25" t="s">
        <v>45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1</v>
      </c>
    </row>
    <row r="26" spans="1:12" x14ac:dyDescent="0.45">
      <c r="A26" t="s">
        <v>9</v>
      </c>
      <c r="B26" t="s">
        <v>1</v>
      </c>
      <c r="C26">
        <v>3</v>
      </c>
      <c r="D26" t="s">
        <v>34</v>
      </c>
      <c r="E26">
        <v>5</v>
      </c>
      <c r="F26" t="s">
        <v>44</v>
      </c>
      <c r="G26" t="s">
        <v>46</v>
      </c>
      <c r="H26" t="s">
        <v>45</v>
      </c>
      <c r="I26">
        <f t="shared" si="0"/>
        <v>1</v>
      </c>
      <c r="J26">
        <f t="shared" si="1"/>
        <v>1</v>
      </c>
      <c r="K26">
        <f t="shared" si="2"/>
        <v>1</v>
      </c>
      <c r="L26">
        <f t="shared" si="3"/>
        <v>1</v>
      </c>
    </row>
    <row r="27" spans="1:12" x14ac:dyDescent="0.45">
      <c r="A27" t="s">
        <v>9</v>
      </c>
      <c r="B27" t="s">
        <v>1</v>
      </c>
      <c r="C27">
        <v>3</v>
      </c>
      <c r="D27" t="s">
        <v>34</v>
      </c>
      <c r="E27">
        <v>5</v>
      </c>
      <c r="F27" t="s">
        <v>44</v>
      </c>
      <c r="G27" t="s">
        <v>46</v>
      </c>
      <c r="H27" t="s">
        <v>45</v>
      </c>
      <c r="I27">
        <f t="shared" si="0"/>
        <v>1</v>
      </c>
      <c r="J27">
        <f t="shared" si="1"/>
        <v>1</v>
      </c>
      <c r="K27">
        <f t="shared" si="2"/>
        <v>1</v>
      </c>
      <c r="L27">
        <f t="shared" si="3"/>
        <v>1</v>
      </c>
    </row>
    <row r="28" spans="1:12" x14ac:dyDescent="0.45">
      <c r="A28" t="s">
        <v>9</v>
      </c>
      <c r="B28" t="s">
        <v>8</v>
      </c>
      <c r="C28">
        <v>1</v>
      </c>
      <c r="D28" t="s">
        <v>5</v>
      </c>
      <c r="E28">
        <v>2</v>
      </c>
      <c r="F28" t="s">
        <v>46</v>
      </c>
      <c r="G28" t="s">
        <v>45</v>
      </c>
      <c r="H28" t="s">
        <v>44</v>
      </c>
      <c r="I28">
        <f t="shared" si="0"/>
        <v>0</v>
      </c>
      <c r="J28">
        <f t="shared" si="1"/>
        <v>0</v>
      </c>
      <c r="K28">
        <f t="shared" si="2"/>
        <v>0</v>
      </c>
      <c r="L28">
        <f t="shared" si="3"/>
        <v>0</v>
      </c>
    </row>
    <row r="29" spans="1:12" x14ac:dyDescent="0.45">
      <c r="A29" t="s">
        <v>9</v>
      </c>
      <c r="B29" t="s">
        <v>1</v>
      </c>
      <c r="C29">
        <v>2</v>
      </c>
      <c r="D29" t="s">
        <v>5</v>
      </c>
      <c r="E29">
        <v>4</v>
      </c>
      <c r="F29" t="s">
        <v>46</v>
      </c>
      <c r="G29" t="s">
        <v>44</v>
      </c>
      <c r="H29" t="s">
        <v>45</v>
      </c>
      <c r="I29">
        <f t="shared" si="0"/>
        <v>0</v>
      </c>
      <c r="J29">
        <f t="shared" si="1"/>
        <v>0</v>
      </c>
      <c r="K29">
        <f t="shared" si="2"/>
        <v>0</v>
      </c>
      <c r="L29">
        <f t="shared" si="3"/>
        <v>1</v>
      </c>
    </row>
    <row r="31" spans="1:12" x14ac:dyDescent="0.45">
      <c r="H31" t="s">
        <v>21</v>
      </c>
      <c r="I31">
        <f>AVERAGE(I2:I29)</f>
        <v>0.4642857142857143</v>
      </c>
    </row>
    <row r="32" spans="1:12" x14ac:dyDescent="0.45">
      <c r="H32" t="s">
        <v>23</v>
      </c>
      <c r="J32">
        <f>AVERAGE(J2:J29)</f>
        <v>0.7142857142857143</v>
      </c>
      <c r="K32">
        <f t="shared" ref="K32:L32" si="4">AVERAGE(K2:K29)</f>
        <v>0.2857142857142857</v>
      </c>
      <c r="L32">
        <f t="shared" si="4"/>
        <v>0.4642857142857143</v>
      </c>
    </row>
    <row r="33" spans="8:13" x14ac:dyDescent="0.45">
      <c r="H33" t="s">
        <v>26</v>
      </c>
      <c r="M33">
        <f>AVERAGE(J2:L29)</f>
        <v>0.48809523809523808</v>
      </c>
    </row>
    <row r="35" spans="8:13" x14ac:dyDescent="0.45">
      <c r="H35" t="s">
        <v>27</v>
      </c>
      <c r="I35">
        <f>AVERAGE(E2:E29)</f>
        <v>4.1071428571428568</v>
      </c>
    </row>
    <row r="36" spans="8:13" x14ac:dyDescent="0.45">
      <c r="H36" t="s">
        <v>28</v>
      </c>
      <c r="I36">
        <f>_xlfn.STDEV.S(E2:E29)</f>
        <v>0.99402979738800523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92F5-3399-48A8-AE14-133E96F7D5FF}">
  <dimension ref="A1:M32"/>
  <sheetViews>
    <sheetView topLeftCell="B1" workbookViewId="0">
      <selection activeCell="B25" sqref="A2:XFD25"/>
    </sheetView>
  </sheetViews>
  <sheetFormatPr defaultRowHeight="14.25" x14ac:dyDescent="0.45"/>
  <cols>
    <col min="6" max="8" width="20.59765625" bestFit="1" customWidth="1"/>
  </cols>
  <sheetData>
    <row r="1" spans="1:12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24</v>
      </c>
      <c r="L1" t="s">
        <v>25</v>
      </c>
    </row>
    <row r="2" spans="1:12" x14ac:dyDescent="0.45">
      <c r="A2" t="s">
        <v>0</v>
      </c>
      <c r="B2" t="s">
        <v>8</v>
      </c>
      <c r="C2">
        <v>4</v>
      </c>
      <c r="D2" t="s">
        <v>47</v>
      </c>
      <c r="E2">
        <v>3</v>
      </c>
      <c r="F2" t="s">
        <v>48</v>
      </c>
      <c r="G2" t="s">
        <v>49</v>
      </c>
      <c r="H2" t="s">
        <v>50</v>
      </c>
      <c r="I2">
        <f>IF(D2="Sadness",1,0)</f>
        <v>1</v>
      </c>
      <c r="J2">
        <f>IF(ISNUMBER(SEARCH("Level 2",F2)),1,0)</f>
        <v>1</v>
      </c>
      <c r="K2">
        <f>IF(ISNUMBER(SEARCH("Level 1",G2)),1,0)</f>
        <v>1</v>
      </c>
      <c r="L2">
        <f>IF(ISNUMBER(SEARCH("Level 3",H2)),1,0)</f>
        <v>1</v>
      </c>
    </row>
    <row r="3" spans="1:12" x14ac:dyDescent="0.45">
      <c r="A3" t="s">
        <v>0</v>
      </c>
      <c r="B3" t="s">
        <v>8</v>
      </c>
      <c r="C3">
        <v>2</v>
      </c>
      <c r="D3" t="s">
        <v>39</v>
      </c>
      <c r="E3">
        <v>4</v>
      </c>
      <c r="F3" t="s">
        <v>48</v>
      </c>
      <c r="G3" t="s">
        <v>49</v>
      </c>
      <c r="H3" t="s">
        <v>50</v>
      </c>
      <c r="I3">
        <f t="shared" ref="I3:I25" si="0">IF(D3="Sadness",1,0)</f>
        <v>0</v>
      </c>
      <c r="J3">
        <f t="shared" ref="J3:J25" si="1">IF(ISNUMBER(SEARCH("Level 3",F3)),1,0)</f>
        <v>0</v>
      </c>
      <c r="K3">
        <f t="shared" ref="K3:K25" si="2">IF(ISNUMBER(SEARCH("Level 2",G3)),1,0)</f>
        <v>0</v>
      </c>
      <c r="L3">
        <f t="shared" ref="L3:L25" si="3">IF(ISNUMBER(SEARCH("Level 1",H3)),1,0)</f>
        <v>0</v>
      </c>
    </row>
    <row r="4" spans="1:12" x14ac:dyDescent="0.45">
      <c r="A4" t="s">
        <v>7</v>
      </c>
      <c r="B4" t="s">
        <v>1</v>
      </c>
      <c r="C4">
        <v>4</v>
      </c>
      <c r="D4" t="s">
        <v>47</v>
      </c>
      <c r="E4">
        <v>3</v>
      </c>
      <c r="F4" t="s">
        <v>50</v>
      </c>
      <c r="G4" t="s">
        <v>49</v>
      </c>
      <c r="H4" t="s">
        <v>48</v>
      </c>
      <c r="I4">
        <f t="shared" si="0"/>
        <v>1</v>
      </c>
      <c r="J4">
        <f t="shared" si="1"/>
        <v>1</v>
      </c>
      <c r="K4">
        <f t="shared" si="2"/>
        <v>0</v>
      </c>
      <c r="L4">
        <f t="shared" si="3"/>
        <v>0</v>
      </c>
    </row>
    <row r="5" spans="1:12" x14ac:dyDescent="0.45">
      <c r="A5" t="s">
        <v>9</v>
      </c>
      <c r="B5" t="s">
        <v>1</v>
      </c>
      <c r="C5">
        <v>3</v>
      </c>
      <c r="D5" t="s">
        <v>39</v>
      </c>
      <c r="E5">
        <v>5</v>
      </c>
      <c r="F5" t="s">
        <v>48</v>
      </c>
      <c r="G5" t="s">
        <v>49</v>
      </c>
      <c r="H5" t="s">
        <v>50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45">
      <c r="A6" t="s">
        <v>0</v>
      </c>
      <c r="B6" t="s">
        <v>1</v>
      </c>
      <c r="C6">
        <v>3</v>
      </c>
      <c r="D6" t="s">
        <v>39</v>
      </c>
      <c r="E6">
        <v>3</v>
      </c>
      <c r="F6" t="s">
        <v>49</v>
      </c>
      <c r="G6" t="s">
        <v>48</v>
      </c>
      <c r="H6" t="s">
        <v>50</v>
      </c>
      <c r="I6">
        <f t="shared" si="0"/>
        <v>0</v>
      </c>
      <c r="J6">
        <f t="shared" si="1"/>
        <v>0</v>
      </c>
      <c r="K6">
        <f t="shared" si="2"/>
        <v>1</v>
      </c>
      <c r="L6">
        <f t="shared" si="3"/>
        <v>0</v>
      </c>
    </row>
    <row r="7" spans="1:12" x14ac:dyDescent="0.45">
      <c r="A7" t="s">
        <v>9</v>
      </c>
      <c r="B7" t="s">
        <v>8</v>
      </c>
      <c r="C7">
        <v>2</v>
      </c>
      <c r="D7" t="s">
        <v>47</v>
      </c>
      <c r="E7">
        <v>5</v>
      </c>
      <c r="F7" t="s">
        <v>48</v>
      </c>
      <c r="G7" t="s">
        <v>48</v>
      </c>
      <c r="H7" t="s">
        <v>50</v>
      </c>
      <c r="I7">
        <f t="shared" si="0"/>
        <v>1</v>
      </c>
      <c r="J7">
        <f t="shared" si="1"/>
        <v>0</v>
      </c>
      <c r="K7">
        <f t="shared" si="2"/>
        <v>1</v>
      </c>
      <c r="L7">
        <f t="shared" si="3"/>
        <v>0</v>
      </c>
    </row>
    <row r="8" spans="1:12" x14ac:dyDescent="0.45">
      <c r="A8" t="s">
        <v>0</v>
      </c>
      <c r="B8" t="s">
        <v>8</v>
      </c>
      <c r="C8">
        <v>4</v>
      </c>
      <c r="D8" t="s">
        <v>2</v>
      </c>
      <c r="E8">
        <v>1</v>
      </c>
      <c r="F8" t="s">
        <v>49</v>
      </c>
      <c r="G8" t="s">
        <v>50</v>
      </c>
      <c r="H8" t="s">
        <v>48</v>
      </c>
      <c r="I8">
        <f t="shared" si="0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 x14ac:dyDescent="0.45">
      <c r="A9" t="s">
        <v>9</v>
      </c>
      <c r="B9" t="s">
        <v>8</v>
      </c>
      <c r="C9">
        <v>2</v>
      </c>
      <c r="D9" t="s">
        <v>39</v>
      </c>
      <c r="E9">
        <v>3</v>
      </c>
      <c r="F9" t="s">
        <v>48</v>
      </c>
      <c r="G9" t="s">
        <v>49</v>
      </c>
      <c r="H9" t="s">
        <v>50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</row>
    <row r="10" spans="1:12" x14ac:dyDescent="0.45">
      <c r="A10" t="s">
        <v>35</v>
      </c>
      <c r="B10" t="s">
        <v>1</v>
      </c>
      <c r="C10">
        <v>1</v>
      </c>
      <c r="D10" t="s">
        <v>29</v>
      </c>
      <c r="E10">
        <v>5</v>
      </c>
      <c r="F10" t="s">
        <v>49</v>
      </c>
      <c r="G10" t="s">
        <v>48</v>
      </c>
      <c r="H10" t="s">
        <v>50</v>
      </c>
      <c r="I10">
        <f t="shared" si="0"/>
        <v>0</v>
      </c>
      <c r="J10">
        <f t="shared" si="1"/>
        <v>0</v>
      </c>
      <c r="K10">
        <f t="shared" si="2"/>
        <v>1</v>
      </c>
      <c r="L10">
        <f t="shared" si="3"/>
        <v>0</v>
      </c>
    </row>
    <row r="11" spans="1:12" x14ac:dyDescent="0.45">
      <c r="A11" t="s">
        <v>9</v>
      </c>
      <c r="B11" t="s">
        <v>8</v>
      </c>
      <c r="C11">
        <v>2</v>
      </c>
      <c r="D11" t="s">
        <v>39</v>
      </c>
      <c r="E11">
        <v>4</v>
      </c>
      <c r="F11" t="s">
        <v>48</v>
      </c>
      <c r="G11" t="s">
        <v>49</v>
      </c>
      <c r="H11" t="s">
        <v>50</v>
      </c>
      <c r="I11">
        <f t="shared" si="0"/>
        <v>0</v>
      </c>
      <c r="J11">
        <f t="shared" si="1"/>
        <v>0</v>
      </c>
      <c r="K11">
        <f t="shared" si="2"/>
        <v>0</v>
      </c>
      <c r="L11">
        <f t="shared" si="3"/>
        <v>0</v>
      </c>
    </row>
    <row r="12" spans="1:12" x14ac:dyDescent="0.45">
      <c r="A12" t="s">
        <v>0</v>
      </c>
      <c r="B12" t="s">
        <v>1</v>
      </c>
      <c r="C12">
        <v>3</v>
      </c>
      <c r="D12" t="s">
        <v>2</v>
      </c>
      <c r="E12">
        <v>1</v>
      </c>
      <c r="F12" t="s">
        <v>48</v>
      </c>
      <c r="G12" t="s">
        <v>49</v>
      </c>
      <c r="H12" t="s">
        <v>50</v>
      </c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0</v>
      </c>
    </row>
    <row r="13" spans="1:12" x14ac:dyDescent="0.45">
      <c r="A13" t="s">
        <v>0</v>
      </c>
      <c r="B13" t="s">
        <v>1</v>
      </c>
      <c r="C13">
        <v>3</v>
      </c>
      <c r="D13" t="s">
        <v>2</v>
      </c>
      <c r="E13">
        <v>1</v>
      </c>
      <c r="F13" t="s">
        <v>48</v>
      </c>
      <c r="G13" t="s">
        <v>49</v>
      </c>
      <c r="H13" t="s">
        <v>50</v>
      </c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0</v>
      </c>
    </row>
    <row r="14" spans="1:12" x14ac:dyDescent="0.45">
      <c r="A14" t="s">
        <v>0</v>
      </c>
      <c r="B14" t="s">
        <v>1</v>
      </c>
      <c r="C14">
        <v>5</v>
      </c>
      <c r="D14" t="s">
        <v>2</v>
      </c>
      <c r="E14">
        <v>4</v>
      </c>
      <c r="F14" t="s">
        <v>48</v>
      </c>
      <c r="G14" t="s">
        <v>49</v>
      </c>
      <c r="H14" t="s">
        <v>50</v>
      </c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0</v>
      </c>
    </row>
    <row r="15" spans="1:12" x14ac:dyDescent="0.45">
      <c r="A15" t="s">
        <v>9</v>
      </c>
      <c r="B15" t="s">
        <v>1</v>
      </c>
      <c r="C15">
        <v>5</v>
      </c>
      <c r="D15" t="s">
        <v>47</v>
      </c>
      <c r="E15">
        <v>3</v>
      </c>
      <c r="F15" t="s">
        <v>48</v>
      </c>
      <c r="G15" t="s">
        <v>49</v>
      </c>
      <c r="H15" t="s">
        <v>50</v>
      </c>
      <c r="I15">
        <f t="shared" si="0"/>
        <v>1</v>
      </c>
      <c r="J15">
        <f t="shared" si="1"/>
        <v>0</v>
      </c>
      <c r="K15">
        <f t="shared" si="2"/>
        <v>0</v>
      </c>
      <c r="L15">
        <f t="shared" si="3"/>
        <v>0</v>
      </c>
    </row>
    <row r="16" spans="1:12" x14ac:dyDescent="0.45">
      <c r="A16" t="s">
        <v>7</v>
      </c>
      <c r="B16" t="s">
        <v>8</v>
      </c>
      <c r="C16">
        <v>1</v>
      </c>
      <c r="D16" t="s">
        <v>11</v>
      </c>
      <c r="E16">
        <v>5</v>
      </c>
      <c r="F16" t="s">
        <v>48</v>
      </c>
      <c r="G16" t="s">
        <v>49</v>
      </c>
      <c r="H16" t="s">
        <v>50</v>
      </c>
      <c r="I16">
        <f t="shared" si="0"/>
        <v>0</v>
      </c>
      <c r="J16">
        <f t="shared" si="1"/>
        <v>0</v>
      </c>
      <c r="K16">
        <f t="shared" si="2"/>
        <v>0</v>
      </c>
      <c r="L16">
        <f t="shared" si="3"/>
        <v>0</v>
      </c>
    </row>
    <row r="17" spans="1:13" x14ac:dyDescent="0.45">
      <c r="A17" t="s">
        <v>7</v>
      </c>
      <c r="B17" t="s">
        <v>1</v>
      </c>
      <c r="C17">
        <v>3</v>
      </c>
      <c r="D17" t="s">
        <v>39</v>
      </c>
      <c r="E17">
        <v>3</v>
      </c>
      <c r="F17" t="s">
        <v>11</v>
      </c>
      <c r="G17" t="s">
        <v>48</v>
      </c>
      <c r="H17" t="s">
        <v>50</v>
      </c>
      <c r="I17">
        <f t="shared" si="0"/>
        <v>0</v>
      </c>
      <c r="J17">
        <f t="shared" si="1"/>
        <v>0</v>
      </c>
      <c r="K17">
        <f t="shared" si="2"/>
        <v>1</v>
      </c>
      <c r="L17">
        <f t="shared" si="3"/>
        <v>0</v>
      </c>
    </row>
    <row r="18" spans="1:13" x14ac:dyDescent="0.45">
      <c r="A18" t="s">
        <v>7</v>
      </c>
      <c r="B18" t="s">
        <v>8</v>
      </c>
      <c r="C18">
        <v>1</v>
      </c>
      <c r="D18" t="s">
        <v>2</v>
      </c>
      <c r="E18">
        <v>2</v>
      </c>
      <c r="F18" t="s">
        <v>50</v>
      </c>
      <c r="G18" t="s">
        <v>48</v>
      </c>
      <c r="H18" t="s">
        <v>50</v>
      </c>
      <c r="I18">
        <f t="shared" si="0"/>
        <v>0</v>
      </c>
      <c r="J18">
        <f t="shared" si="1"/>
        <v>1</v>
      </c>
      <c r="K18">
        <f t="shared" si="2"/>
        <v>1</v>
      </c>
      <c r="L18">
        <f t="shared" si="3"/>
        <v>0</v>
      </c>
    </row>
    <row r="19" spans="1:13" x14ac:dyDescent="0.45">
      <c r="A19" t="s">
        <v>7</v>
      </c>
      <c r="B19" t="s">
        <v>8</v>
      </c>
      <c r="C19">
        <v>1</v>
      </c>
      <c r="D19" t="s">
        <v>2</v>
      </c>
      <c r="E19">
        <v>4</v>
      </c>
      <c r="F19" t="s">
        <v>49</v>
      </c>
      <c r="G19" t="s">
        <v>48</v>
      </c>
      <c r="H19" t="s">
        <v>50</v>
      </c>
      <c r="I19">
        <f t="shared" si="0"/>
        <v>0</v>
      </c>
      <c r="J19">
        <f t="shared" si="1"/>
        <v>0</v>
      </c>
      <c r="K19">
        <f t="shared" si="2"/>
        <v>1</v>
      </c>
      <c r="L19">
        <f t="shared" si="3"/>
        <v>0</v>
      </c>
    </row>
    <row r="20" spans="1:13" x14ac:dyDescent="0.45">
      <c r="A20" t="s">
        <v>7</v>
      </c>
      <c r="B20" t="s">
        <v>8</v>
      </c>
      <c r="C20">
        <v>1</v>
      </c>
      <c r="D20" t="s">
        <v>39</v>
      </c>
      <c r="E20">
        <v>5</v>
      </c>
      <c r="F20" t="s">
        <v>11</v>
      </c>
      <c r="G20" t="s">
        <v>50</v>
      </c>
      <c r="H20" t="s">
        <v>50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</row>
    <row r="21" spans="1:13" x14ac:dyDescent="0.45">
      <c r="A21" t="s">
        <v>7</v>
      </c>
      <c r="B21" t="s">
        <v>1</v>
      </c>
      <c r="C21">
        <v>1</v>
      </c>
      <c r="D21" t="s">
        <v>2</v>
      </c>
      <c r="E21">
        <v>3</v>
      </c>
      <c r="F21" t="s">
        <v>48</v>
      </c>
      <c r="G21" t="s">
        <v>11</v>
      </c>
      <c r="H21" t="s">
        <v>11</v>
      </c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0</v>
      </c>
    </row>
    <row r="22" spans="1:13" x14ac:dyDescent="0.45">
      <c r="A22" t="s">
        <v>35</v>
      </c>
      <c r="B22" t="s">
        <v>1</v>
      </c>
      <c r="C22">
        <v>1</v>
      </c>
      <c r="D22" t="s">
        <v>39</v>
      </c>
      <c r="E22">
        <v>2</v>
      </c>
      <c r="F22" t="s">
        <v>48</v>
      </c>
      <c r="G22" t="s">
        <v>48</v>
      </c>
      <c r="H22" t="s">
        <v>48</v>
      </c>
      <c r="I22">
        <f t="shared" si="0"/>
        <v>0</v>
      </c>
      <c r="J22">
        <f t="shared" si="1"/>
        <v>0</v>
      </c>
      <c r="K22">
        <f t="shared" si="2"/>
        <v>1</v>
      </c>
      <c r="L22">
        <f t="shared" si="3"/>
        <v>0</v>
      </c>
    </row>
    <row r="23" spans="1:13" x14ac:dyDescent="0.45">
      <c r="A23" t="s">
        <v>0</v>
      </c>
      <c r="B23" t="s">
        <v>8</v>
      </c>
      <c r="C23">
        <v>1</v>
      </c>
      <c r="D23" t="s">
        <v>2</v>
      </c>
      <c r="E23">
        <v>3</v>
      </c>
      <c r="F23" t="s">
        <v>49</v>
      </c>
      <c r="G23" t="s">
        <v>48</v>
      </c>
      <c r="H23" t="s">
        <v>50</v>
      </c>
      <c r="I23">
        <f t="shared" si="0"/>
        <v>0</v>
      </c>
      <c r="J23">
        <f t="shared" si="1"/>
        <v>0</v>
      </c>
      <c r="K23">
        <f t="shared" si="2"/>
        <v>1</v>
      </c>
      <c r="L23">
        <f t="shared" si="3"/>
        <v>0</v>
      </c>
    </row>
    <row r="24" spans="1:13" x14ac:dyDescent="0.45">
      <c r="A24" t="s">
        <v>7</v>
      </c>
      <c r="B24" t="s">
        <v>8</v>
      </c>
      <c r="C24">
        <v>1</v>
      </c>
      <c r="D24" t="s">
        <v>39</v>
      </c>
      <c r="E24">
        <v>3</v>
      </c>
      <c r="F24" t="s">
        <v>48</v>
      </c>
      <c r="G24" t="s">
        <v>50</v>
      </c>
      <c r="H24" t="s">
        <v>50</v>
      </c>
      <c r="I24">
        <f t="shared" si="0"/>
        <v>0</v>
      </c>
      <c r="J24">
        <f t="shared" si="1"/>
        <v>0</v>
      </c>
      <c r="K24">
        <f t="shared" si="2"/>
        <v>0</v>
      </c>
      <c r="L24">
        <f t="shared" si="3"/>
        <v>0</v>
      </c>
    </row>
    <row r="25" spans="1:13" x14ac:dyDescent="0.45">
      <c r="A25" t="s">
        <v>10</v>
      </c>
      <c r="B25" t="s">
        <v>8</v>
      </c>
      <c r="C25">
        <v>4</v>
      </c>
      <c r="D25" t="s">
        <v>29</v>
      </c>
      <c r="E25">
        <v>4</v>
      </c>
      <c r="F25" t="s">
        <v>48</v>
      </c>
      <c r="G25" t="s">
        <v>49</v>
      </c>
      <c r="H25" t="s">
        <v>50</v>
      </c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0</v>
      </c>
    </row>
    <row r="27" spans="1:13" x14ac:dyDescent="0.45">
      <c r="H27" t="s">
        <v>21</v>
      </c>
      <c r="I27">
        <f>AVERAGE(I2:I25)</f>
        <v>0.16666666666666666</v>
      </c>
    </row>
    <row r="28" spans="1:13" x14ac:dyDescent="0.45">
      <c r="H28" t="s">
        <v>23</v>
      </c>
      <c r="J28">
        <f>AVERAGE(J2:J25)</f>
        <v>0.125</v>
      </c>
      <c r="K28">
        <f t="shared" ref="K28:L28" si="4">AVERAGE(K2:K25)</f>
        <v>0.375</v>
      </c>
      <c r="L28">
        <f t="shared" si="4"/>
        <v>4.1666666666666664E-2</v>
      </c>
    </row>
    <row r="29" spans="1:13" x14ac:dyDescent="0.45">
      <c r="H29" t="s">
        <v>26</v>
      </c>
      <c r="M29">
        <f>AVERAGE(J2:L25)</f>
        <v>0.18055555555555555</v>
      </c>
    </row>
    <row r="31" spans="1:13" x14ac:dyDescent="0.45">
      <c r="H31" t="s">
        <v>27</v>
      </c>
      <c r="I31">
        <f>AVERAGE(E2:E25)</f>
        <v>3.2916666666666665</v>
      </c>
    </row>
    <row r="32" spans="1:13" x14ac:dyDescent="0.45">
      <c r="H32" t="s">
        <v>28</v>
      </c>
      <c r="I32">
        <f>_xlfn.STDEV.S(E2:E25)</f>
        <v>1.2676293062133794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38BE-A22B-4558-8E43-E8610BA52E2C}">
  <dimension ref="A1:M44"/>
  <sheetViews>
    <sheetView workbookViewId="0">
      <selection activeCell="A37" sqref="A2:XFD37"/>
    </sheetView>
  </sheetViews>
  <sheetFormatPr defaultRowHeight="14.25" x14ac:dyDescent="0.45"/>
  <cols>
    <col min="6" max="6" width="20.59765625" bestFit="1" customWidth="1"/>
    <col min="7" max="8" width="16.19921875" bestFit="1" customWidth="1"/>
  </cols>
  <sheetData>
    <row r="1" spans="1:12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24</v>
      </c>
      <c r="L1" t="s">
        <v>25</v>
      </c>
    </row>
    <row r="2" spans="1:12" x14ac:dyDescent="0.45">
      <c r="A2" t="s">
        <v>9</v>
      </c>
      <c r="B2" t="s">
        <v>51</v>
      </c>
      <c r="C2">
        <v>2</v>
      </c>
      <c r="D2" t="s">
        <v>39</v>
      </c>
      <c r="E2">
        <v>3</v>
      </c>
      <c r="F2" t="s">
        <v>52</v>
      </c>
      <c r="G2" t="s">
        <v>53</v>
      </c>
      <c r="H2" t="s">
        <v>54</v>
      </c>
      <c r="I2">
        <f>IF(D2="Surprise",1,0)</f>
        <v>0</v>
      </c>
      <c r="J2">
        <f>IF(ISNUMBER(SEARCH("Level 1",F2)),1,0)</f>
        <v>1</v>
      </c>
      <c r="K2">
        <f>IF(ISNUMBER(SEARCH("Level 3",G2)),1,0)</f>
        <v>1</v>
      </c>
      <c r="L2">
        <f>IF(ISNUMBER(SEARCH("Level 2",H2)),1,0)</f>
        <v>1</v>
      </c>
    </row>
    <row r="3" spans="1:12" x14ac:dyDescent="0.45">
      <c r="A3" t="s">
        <v>10</v>
      </c>
      <c r="B3" t="s">
        <v>1</v>
      </c>
      <c r="C3">
        <v>2</v>
      </c>
      <c r="D3" t="s">
        <v>29</v>
      </c>
      <c r="E3">
        <v>3</v>
      </c>
      <c r="F3" t="s">
        <v>52</v>
      </c>
      <c r="G3" t="s">
        <v>11</v>
      </c>
      <c r="H3" t="s">
        <v>53</v>
      </c>
      <c r="I3">
        <f t="shared" ref="I3:I37" si="0">IF(D3="Surprise",1,0)</f>
        <v>0</v>
      </c>
      <c r="J3">
        <f t="shared" ref="J3:J37" si="1">IF(ISNUMBER(SEARCH("Level 1",F3)),1,0)</f>
        <v>1</v>
      </c>
      <c r="K3">
        <f t="shared" ref="K3:K37" si="2">IF(ISNUMBER(SEARCH("Level 3",G3)),1,0)</f>
        <v>0</v>
      </c>
      <c r="L3">
        <f t="shared" ref="L3:L37" si="3">IF(ISNUMBER(SEARCH("Level 2",H3)),1,0)</f>
        <v>0</v>
      </c>
    </row>
    <row r="4" spans="1:12" x14ac:dyDescent="0.45">
      <c r="A4" t="s">
        <v>0</v>
      </c>
      <c r="B4" t="s">
        <v>1</v>
      </c>
      <c r="C4">
        <v>2</v>
      </c>
      <c r="D4" t="s">
        <v>2</v>
      </c>
      <c r="E4">
        <v>3</v>
      </c>
      <c r="F4" t="s">
        <v>52</v>
      </c>
      <c r="G4" t="s">
        <v>54</v>
      </c>
      <c r="H4" t="s">
        <v>53</v>
      </c>
      <c r="I4">
        <f t="shared" si="0"/>
        <v>0</v>
      </c>
      <c r="J4">
        <f t="shared" si="1"/>
        <v>1</v>
      </c>
      <c r="K4">
        <f t="shared" si="2"/>
        <v>0</v>
      </c>
      <c r="L4">
        <f t="shared" si="3"/>
        <v>0</v>
      </c>
    </row>
    <row r="5" spans="1:12" x14ac:dyDescent="0.45">
      <c r="A5" t="s">
        <v>0</v>
      </c>
      <c r="B5" t="s">
        <v>8</v>
      </c>
      <c r="C5">
        <v>3</v>
      </c>
      <c r="D5" t="s">
        <v>2</v>
      </c>
      <c r="E5">
        <v>3</v>
      </c>
      <c r="F5" t="s">
        <v>52</v>
      </c>
      <c r="G5" t="s">
        <v>54</v>
      </c>
      <c r="H5" t="s">
        <v>53</v>
      </c>
      <c r="I5">
        <f t="shared" si="0"/>
        <v>0</v>
      </c>
      <c r="J5">
        <f t="shared" si="1"/>
        <v>1</v>
      </c>
      <c r="K5">
        <f t="shared" si="2"/>
        <v>0</v>
      </c>
      <c r="L5">
        <f t="shared" si="3"/>
        <v>0</v>
      </c>
    </row>
    <row r="6" spans="1:12" x14ac:dyDescent="0.45">
      <c r="A6" t="s">
        <v>0</v>
      </c>
      <c r="B6" t="s">
        <v>8</v>
      </c>
      <c r="C6">
        <v>2</v>
      </c>
      <c r="D6" t="s">
        <v>2</v>
      </c>
      <c r="E6">
        <v>5</v>
      </c>
      <c r="F6" t="s">
        <v>11</v>
      </c>
      <c r="G6" t="s">
        <v>54</v>
      </c>
      <c r="H6" t="s">
        <v>52</v>
      </c>
      <c r="I6">
        <f t="shared" si="0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 x14ac:dyDescent="0.45">
      <c r="A7" t="s">
        <v>0</v>
      </c>
      <c r="B7" t="s">
        <v>1</v>
      </c>
      <c r="C7">
        <v>3</v>
      </c>
      <c r="D7" t="s">
        <v>2</v>
      </c>
      <c r="E7">
        <v>3</v>
      </c>
      <c r="F7" t="s">
        <v>52</v>
      </c>
      <c r="G7" t="s">
        <v>54</v>
      </c>
      <c r="H7" t="s">
        <v>53</v>
      </c>
      <c r="I7">
        <f t="shared" si="0"/>
        <v>0</v>
      </c>
      <c r="J7">
        <f t="shared" si="1"/>
        <v>1</v>
      </c>
      <c r="K7">
        <f t="shared" si="2"/>
        <v>0</v>
      </c>
      <c r="L7">
        <f t="shared" si="3"/>
        <v>0</v>
      </c>
    </row>
    <row r="8" spans="1:12" x14ac:dyDescent="0.45">
      <c r="A8" t="s">
        <v>0</v>
      </c>
      <c r="B8" t="s">
        <v>8</v>
      </c>
      <c r="C8">
        <v>4</v>
      </c>
      <c r="D8" t="s">
        <v>2</v>
      </c>
      <c r="E8">
        <v>5</v>
      </c>
      <c r="F8" t="s">
        <v>52</v>
      </c>
      <c r="G8" t="s">
        <v>53</v>
      </c>
      <c r="H8" t="s">
        <v>54</v>
      </c>
      <c r="I8">
        <f t="shared" si="0"/>
        <v>0</v>
      </c>
      <c r="J8">
        <f t="shared" si="1"/>
        <v>1</v>
      </c>
      <c r="K8">
        <f t="shared" si="2"/>
        <v>1</v>
      </c>
      <c r="L8">
        <f t="shared" si="3"/>
        <v>1</v>
      </c>
    </row>
    <row r="9" spans="1:12" x14ac:dyDescent="0.45">
      <c r="A9" t="s">
        <v>0</v>
      </c>
      <c r="B9" t="s">
        <v>1</v>
      </c>
      <c r="C9">
        <v>1</v>
      </c>
      <c r="D9" t="s">
        <v>2</v>
      </c>
      <c r="E9">
        <v>5</v>
      </c>
      <c r="F9" t="s">
        <v>54</v>
      </c>
      <c r="G9" t="s">
        <v>52</v>
      </c>
      <c r="H9" t="s">
        <v>53</v>
      </c>
      <c r="I9">
        <f t="shared" si="0"/>
        <v>0</v>
      </c>
      <c r="J9">
        <f t="shared" si="1"/>
        <v>0</v>
      </c>
      <c r="K9">
        <f t="shared" si="2"/>
        <v>0</v>
      </c>
      <c r="L9">
        <f t="shared" si="3"/>
        <v>0</v>
      </c>
    </row>
    <row r="10" spans="1:12" x14ac:dyDescent="0.45">
      <c r="A10" t="s">
        <v>9</v>
      </c>
      <c r="B10" t="s">
        <v>1</v>
      </c>
      <c r="C10">
        <v>3</v>
      </c>
      <c r="D10" t="s">
        <v>2</v>
      </c>
      <c r="E10">
        <v>5</v>
      </c>
      <c r="F10" t="s">
        <v>52</v>
      </c>
      <c r="G10" t="s">
        <v>53</v>
      </c>
      <c r="H10" t="s">
        <v>54</v>
      </c>
      <c r="I10">
        <f t="shared" si="0"/>
        <v>0</v>
      </c>
      <c r="J10">
        <f t="shared" si="1"/>
        <v>1</v>
      </c>
      <c r="K10">
        <f t="shared" si="2"/>
        <v>1</v>
      </c>
      <c r="L10">
        <f t="shared" si="3"/>
        <v>1</v>
      </c>
    </row>
    <row r="11" spans="1:12" x14ac:dyDescent="0.45">
      <c r="A11" t="s">
        <v>9</v>
      </c>
      <c r="B11" t="s">
        <v>1</v>
      </c>
      <c r="C11">
        <v>3</v>
      </c>
      <c r="D11" t="s">
        <v>2</v>
      </c>
      <c r="E11">
        <v>3</v>
      </c>
      <c r="F11" t="s">
        <v>52</v>
      </c>
      <c r="G11" t="s">
        <v>54</v>
      </c>
      <c r="H11" t="s">
        <v>53</v>
      </c>
      <c r="I11">
        <f t="shared" si="0"/>
        <v>0</v>
      </c>
      <c r="J11">
        <f t="shared" si="1"/>
        <v>1</v>
      </c>
      <c r="K11">
        <f t="shared" si="2"/>
        <v>0</v>
      </c>
      <c r="L11">
        <f t="shared" si="3"/>
        <v>0</v>
      </c>
    </row>
    <row r="12" spans="1:12" x14ac:dyDescent="0.45">
      <c r="A12" t="s">
        <v>9</v>
      </c>
      <c r="B12" t="s">
        <v>8</v>
      </c>
      <c r="C12">
        <v>2</v>
      </c>
      <c r="D12" t="s">
        <v>33</v>
      </c>
      <c r="E12">
        <v>4</v>
      </c>
      <c r="F12" t="s">
        <v>52</v>
      </c>
      <c r="G12" t="s">
        <v>53</v>
      </c>
      <c r="H12" t="s">
        <v>53</v>
      </c>
      <c r="I12">
        <f t="shared" si="0"/>
        <v>1</v>
      </c>
      <c r="J12">
        <f t="shared" si="1"/>
        <v>1</v>
      </c>
      <c r="K12">
        <f t="shared" si="2"/>
        <v>1</v>
      </c>
      <c r="L12">
        <f t="shared" si="3"/>
        <v>0</v>
      </c>
    </row>
    <row r="13" spans="1:12" x14ac:dyDescent="0.45">
      <c r="A13" t="s">
        <v>9</v>
      </c>
      <c r="B13" t="s">
        <v>1</v>
      </c>
      <c r="C13">
        <v>1</v>
      </c>
      <c r="D13" t="s">
        <v>33</v>
      </c>
      <c r="E13">
        <v>4</v>
      </c>
      <c r="F13" t="s">
        <v>52</v>
      </c>
      <c r="G13" t="s">
        <v>54</v>
      </c>
      <c r="H13" t="s">
        <v>53</v>
      </c>
      <c r="I13">
        <f t="shared" si="0"/>
        <v>1</v>
      </c>
      <c r="J13">
        <f t="shared" si="1"/>
        <v>1</v>
      </c>
      <c r="K13">
        <f t="shared" si="2"/>
        <v>0</v>
      </c>
      <c r="L13">
        <f t="shared" si="3"/>
        <v>0</v>
      </c>
    </row>
    <row r="14" spans="1:12" x14ac:dyDescent="0.45">
      <c r="A14" t="s">
        <v>7</v>
      </c>
      <c r="B14" t="s">
        <v>1</v>
      </c>
      <c r="C14">
        <v>4</v>
      </c>
      <c r="D14" t="s">
        <v>33</v>
      </c>
      <c r="E14">
        <v>5</v>
      </c>
      <c r="F14" t="s">
        <v>52</v>
      </c>
      <c r="G14" t="s">
        <v>53</v>
      </c>
      <c r="H14" t="s">
        <v>54</v>
      </c>
      <c r="I14">
        <f t="shared" si="0"/>
        <v>1</v>
      </c>
      <c r="J14">
        <f t="shared" si="1"/>
        <v>1</v>
      </c>
      <c r="K14">
        <f t="shared" si="2"/>
        <v>1</v>
      </c>
      <c r="L14">
        <f t="shared" si="3"/>
        <v>1</v>
      </c>
    </row>
    <row r="15" spans="1:12" x14ac:dyDescent="0.45">
      <c r="A15" t="s">
        <v>0</v>
      </c>
      <c r="B15" t="s">
        <v>1</v>
      </c>
      <c r="C15">
        <v>3</v>
      </c>
      <c r="D15" t="s">
        <v>2</v>
      </c>
      <c r="E15">
        <v>3</v>
      </c>
      <c r="F15" t="s">
        <v>52</v>
      </c>
      <c r="G15" t="s">
        <v>54</v>
      </c>
      <c r="H15" t="s">
        <v>53</v>
      </c>
      <c r="I15">
        <f t="shared" si="0"/>
        <v>0</v>
      </c>
      <c r="J15">
        <f t="shared" si="1"/>
        <v>1</v>
      </c>
      <c r="K15">
        <f t="shared" si="2"/>
        <v>0</v>
      </c>
      <c r="L15">
        <f t="shared" si="3"/>
        <v>0</v>
      </c>
    </row>
    <row r="16" spans="1:12" x14ac:dyDescent="0.45">
      <c r="A16" t="s">
        <v>0</v>
      </c>
      <c r="B16" t="s">
        <v>1</v>
      </c>
      <c r="C16">
        <v>5</v>
      </c>
      <c r="D16" t="s">
        <v>33</v>
      </c>
      <c r="E16">
        <v>4</v>
      </c>
      <c r="F16" t="s">
        <v>52</v>
      </c>
      <c r="G16" t="s">
        <v>53</v>
      </c>
      <c r="H16" t="s">
        <v>54</v>
      </c>
      <c r="I16">
        <f t="shared" si="0"/>
        <v>1</v>
      </c>
      <c r="J16">
        <f t="shared" si="1"/>
        <v>1</v>
      </c>
      <c r="K16">
        <f t="shared" si="2"/>
        <v>1</v>
      </c>
      <c r="L16">
        <f t="shared" si="3"/>
        <v>1</v>
      </c>
    </row>
    <row r="17" spans="1:12" x14ac:dyDescent="0.45">
      <c r="A17" t="s">
        <v>0</v>
      </c>
      <c r="B17" t="s">
        <v>8</v>
      </c>
      <c r="C17">
        <v>2</v>
      </c>
      <c r="D17" t="s">
        <v>2</v>
      </c>
      <c r="E17">
        <v>5</v>
      </c>
      <c r="F17" t="s">
        <v>52</v>
      </c>
      <c r="G17" t="s">
        <v>52</v>
      </c>
      <c r="H17" t="s">
        <v>11</v>
      </c>
      <c r="I17">
        <f t="shared" si="0"/>
        <v>0</v>
      </c>
      <c r="J17">
        <f t="shared" si="1"/>
        <v>1</v>
      </c>
      <c r="K17">
        <f t="shared" si="2"/>
        <v>0</v>
      </c>
      <c r="L17">
        <f t="shared" si="3"/>
        <v>0</v>
      </c>
    </row>
    <row r="18" spans="1:12" x14ac:dyDescent="0.45">
      <c r="A18" t="s">
        <v>35</v>
      </c>
      <c r="B18" t="s">
        <v>1</v>
      </c>
      <c r="C18">
        <v>1</v>
      </c>
      <c r="D18" t="s">
        <v>33</v>
      </c>
      <c r="E18">
        <v>5</v>
      </c>
      <c r="F18" t="s">
        <v>52</v>
      </c>
      <c r="G18" t="s">
        <v>53</v>
      </c>
      <c r="H18" t="s">
        <v>54</v>
      </c>
      <c r="I18">
        <f t="shared" si="0"/>
        <v>1</v>
      </c>
      <c r="J18">
        <f t="shared" si="1"/>
        <v>1</v>
      </c>
      <c r="K18">
        <f t="shared" si="2"/>
        <v>1</v>
      </c>
      <c r="L18">
        <f t="shared" si="3"/>
        <v>1</v>
      </c>
    </row>
    <row r="19" spans="1:12" x14ac:dyDescent="0.45">
      <c r="A19" t="s">
        <v>9</v>
      </c>
      <c r="B19" t="s">
        <v>8</v>
      </c>
      <c r="C19">
        <v>2</v>
      </c>
      <c r="D19" t="s">
        <v>2</v>
      </c>
      <c r="E19">
        <v>1</v>
      </c>
      <c r="F19" t="s">
        <v>52</v>
      </c>
      <c r="G19" t="s">
        <v>53</v>
      </c>
      <c r="H19" t="s">
        <v>54</v>
      </c>
      <c r="I19">
        <f t="shared" si="0"/>
        <v>0</v>
      </c>
      <c r="J19">
        <f t="shared" si="1"/>
        <v>1</v>
      </c>
      <c r="K19">
        <f t="shared" si="2"/>
        <v>1</v>
      </c>
      <c r="L19">
        <f t="shared" si="3"/>
        <v>1</v>
      </c>
    </row>
    <row r="20" spans="1:12" x14ac:dyDescent="0.45">
      <c r="A20" t="s">
        <v>9</v>
      </c>
      <c r="B20" t="s">
        <v>1</v>
      </c>
      <c r="C20">
        <v>5</v>
      </c>
      <c r="D20" t="s">
        <v>2</v>
      </c>
      <c r="E20">
        <v>4</v>
      </c>
      <c r="F20" t="s">
        <v>54</v>
      </c>
      <c r="G20" t="s">
        <v>52</v>
      </c>
      <c r="H20" t="s">
        <v>53</v>
      </c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</row>
    <row r="21" spans="1:12" x14ac:dyDescent="0.45">
      <c r="A21" t="s">
        <v>7</v>
      </c>
      <c r="B21" t="s">
        <v>8</v>
      </c>
      <c r="C21">
        <v>1</v>
      </c>
      <c r="D21" t="s">
        <v>33</v>
      </c>
      <c r="E21">
        <v>4</v>
      </c>
      <c r="F21" t="s">
        <v>52</v>
      </c>
      <c r="G21" t="s">
        <v>54</v>
      </c>
      <c r="H21" t="s">
        <v>53</v>
      </c>
      <c r="I21">
        <f t="shared" si="0"/>
        <v>1</v>
      </c>
      <c r="J21">
        <f t="shared" si="1"/>
        <v>1</v>
      </c>
      <c r="K21">
        <f t="shared" si="2"/>
        <v>0</v>
      </c>
      <c r="L21">
        <f t="shared" si="3"/>
        <v>0</v>
      </c>
    </row>
    <row r="22" spans="1:12" x14ac:dyDescent="0.45">
      <c r="A22" t="s">
        <v>7</v>
      </c>
      <c r="B22" t="s">
        <v>8</v>
      </c>
      <c r="C22">
        <v>1</v>
      </c>
      <c r="D22" t="s">
        <v>33</v>
      </c>
      <c r="E22">
        <v>5</v>
      </c>
      <c r="F22" t="s">
        <v>52</v>
      </c>
      <c r="G22" t="s">
        <v>54</v>
      </c>
      <c r="H22" t="s">
        <v>53</v>
      </c>
      <c r="I22">
        <f t="shared" si="0"/>
        <v>1</v>
      </c>
      <c r="J22">
        <f t="shared" si="1"/>
        <v>1</v>
      </c>
      <c r="K22">
        <f t="shared" si="2"/>
        <v>0</v>
      </c>
      <c r="L22">
        <f t="shared" si="3"/>
        <v>0</v>
      </c>
    </row>
    <row r="23" spans="1:12" x14ac:dyDescent="0.45">
      <c r="A23" t="s">
        <v>35</v>
      </c>
      <c r="B23" t="s">
        <v>1</v>
      </c>
      <c r="C23">
        <v>1</v>
      </c>
      <c r="D23" t="s">
        <v>33</v>
      </c>
      <c r="E23">
        <v>4</v>
      </c>
      <c r="F23" t="s">
        <v>52</v>
      </c>
      <c r="G23" t="s">
        <v>53</v>
      </c>
      <c r="H23" t="s">
        <v>53</v>
      </c>
      <c r="I23">
        <f t="shared" si="0"/>
        <v>1</v>
      </c>
      <c r="J23">
        <f t="shared" si="1"/>
        <v>1</v>
      </c>
      <c r="K23">
        <f t="shared" si="2"/>
        <v>1</v>
      </c>
      <c r="L23">
        <f t="shared" si="3"/>
        <v>0</v>
      </c>
    </row>
    <row r="24" spans="1:12" x14ac:dyDescent="0.45">
      <c r="A24" t="s">
        <v>35</v>
      </c>
      <c r="B24" t="s">
        <v>8</v>
      </c>
      <c r="C24">
        <v>2</v>
      </c>
      <c r="D24" t="s">
        <v>33</v>
      </c>
      <c r="E24">
        <v>5</v>
      </c>
      <c r="F24" t="s">
        <v>52</v>
      </c>
      <c r="G24" t="s">
        <v>53</v>
      </c>
      <c r="H24" t="s">
        <v>54</v>
      </c>
      <c r="I24">
        <f t="shared" si="0"/>
        <v>1</v>
      </c>
      <c r="J24">
        <f t="shared" si="1"/>
        <v>1</v>
      </c>
      <c r="K24">
        <f t="shared" si="2"/>
        <v>1</v>
      </c>
      <c r="L24">
        <f t="shared" si="3"/>
        <v>1</v>
      </c>
    </row>
    <row r="25" spans="1:12" x14ac:dyDescent="0.45">
      <c r="A25" t="s">
        <v>35</v>
      </c>
      <c r="B25" t="s">
        <v>8</v>
      </c>
      <c r="C25">
        <v>2</v>
      </c>
      <c r="D25" t="s">
        <v>2</v>
      </c>
      <c r="E25">
        <v>3</v>
      </c>
      <c r="F25" t="s">
        <v>52</v>
      </c>
      <c r="G25" t="s">
        <v>53</v>
      </c>
      <c r="H25" t="s">
        <v>54</v>
      </c>
      <c r="I25">
        <f t="shared" si="0"/>
        <v>0</v>
      </c>
      <c r="J25">
        <f t="shared" si="1"/>
        <v>1</v>
      </c>
      <c r="K25">
        <f t="shared" si="2"/>
        <v>1</v>
      </c>
      <c r="L25">
        <f t="shared" si="3"/>
        <v>1</v>
      </c>
    </row>
    <row r="26" spans="1:12" x14ac:dyDescent="0.45">
      <c r="A26" t="s">
        <v>0</v>
      </c>
      <c r="B26" t="s">
        <v>1</v>
      </c>
      <c r="C26">
        <v>3</v>
      </c>
      <c r="D26" t="s">
        <v>2</v>
      </c>
      <c r="E26">
        <v>4</v>
      </c>
      <c r="F26" t="s">
        <v>52</v>
      </c>
      <c r="G26" t="s">
        <v>54</v>
      </c>
      <c r="H26" t="s">
        <v>53</v>
      </c>
      <c r="I26">
        <f t="shared" si="0"/>
        <v>0</v>
      </c>
      <c r="J26">
        <f t="shared" si="1"/>
        <v>1</v>
      </c>
      <c r="K26">
        <f t="shared" si="2"/>
        <v>0</v>
      </c>
      <c r="L26">
        <f t="shared" si="3"/>
        <v>0</v>
      </c>
    </row>
    <row r="27" spans="1:12" x14ac:dyDescent="0.45">
      <c r="A27" t="s">
        <v>55</v>
      </c>
      <c r="B27" t="s">
        <v>1</v>
      </c>
      <c r="C27">
        <v>1</v>
      </c>
      <c r="D27" t="s">
        <v>2</v>
      </c>
      <c r="E27">
        <v>1</v>
      </c>
      <c r="F27" t="s">
        <v>52</v>
      </c>
      <c r="G27" t="s">
        <v>54</v>
      </c>
      <c r="H27" t="s">
        <v>53</v>
      </c>
      <c r="I27">
        <f t="shared" si="0"/>
        <v>0</v>
      </c>
      <c r="J27">
        <f t="shared" si="1"/>
        <v>1</v>
      </c>
      <c r="K27">
        <f t="shared" si="2"/>
        <v>0</v>
      </c>
      <c r="L27">
        <f t="shared" si="3"/>
        <v>0</v>
      </c>
    </row>
    <row r="28" spans="1:12" x14ac:dyDescent="0.45">
      <c r="A28" t="s">
        <v>7</v>
      </c>
      <c r="B28" t="s">
        <v>8</v>
      </c>
      <c r="C28">
        <v>1</v>
      </c>
      <c r="D28" t="s">
        <v>2</v>
      </c>
      <c r="E28">
        <v>3</v>
      </c>
      <c r="F28" t="s">
        <v>11</v>
      </c>
      <c r="G28" t="s">
        <v>53</v>
      </c>
      <c r="H28" t="s">
        <v>52</v>
      </c>
      <c r="I28">
        <f t="shared" si="0"/>
        <v>0</v>
      </c>
      <c r="J28">
        <f t="shared" si="1"/>
        <v>0</v>
      </c>
      <c r="K28">
        <f t="shared" si="2"/>
        <v>1</v>
      </c>
      <c r="L28">
        <f t="shared" si="3"/>
        <v>0</v>
      </c>
    </row>
    <row r="29" spans="1:12" x14ac:dyDescent="0.45">
      <c r="A29" t="s">
        <v>7</v>
      </c>
      <c r="B29" t="s">
        <v>1</v>
      </c>
      <c r="C29">
        <v>3</v>
      </c>
      <c r="D29" t="s">
        <v>2</v>
      </c>
      <c r="E29">
        <v>4</v>
      </c>
      <c r="F29" t="s">
        <v>52</v>
      </c>
      <c r="G29" t="s">
        <v>52</v>
      </c>
      <c r="H29" t="s">
        <v>53</v>
      </c>
      <c r="I29">
        <f t="shared" si="0"/>
        <v>0</v>
      </c>
      <c r="J29">
        <f t="shared" si="1"/>
        <v>1</v>
      </c>
      <c r="K29">
        <f t="shared" si="2"/>
        <v>0</v>
      </c>
      <c r="L29">
        <f t="shared" si="3"/>
        <v>0</v>
      </c>
    </row>
    <row r="30" spans="1:12" x14ac:dyDescent="0.45">
      <c r="A30" t="s">
        <v>7</v>
      </c>
      <c r="B30" t="s">
        <v>8</v>
      </c>
      <c r="C30">
        <v>3</v>
      </c>
      <c r="D30" t="s">
        <v>33</v>
      </c>
      <c r="E30">
        <v>4</v>
      </c>
      <c r="F30" t="s">
        <v>52</v>
      </c>
      <c r="G30" t="s">
        <v>54</v>
      </c>
      <c r="H30" t="s">
        <v>53</v>
      </c>
      <c r="I30">
        <f t="shared" si="0"/>
        <v>1</v>
      </c>
      <c r="J30">
        <f t="shared" si="1"/>
        <v>1</v>
      </c>
      <c r="K30">
        <f t="shared" si="2"/>
        <v>0</v>
      </c>
      <c r="L30">
        <f t="shared" si="3"/>
        <v>0</v>
      </c>
    </row>
    <row r="31" spans="1:12" x14ac:dyDescent="0.45">
      <c r="A31" t="s">
        <v>9</v>
      </c>
      <c r="B31" t="s">
        <v>1</v>
      </c>
      <c r="C31">
        <v>1</v>
      </c>
      <c r="D31" t="s">
        <v>2</v>
      </c>
      <c r="E31">
        <v>2</v>
      </c>
      <c r="F31" t="s">
        <v>52</v>
      </c>
      <c r="G31" t="s">
        <v>54</v>
      </c>
      <c r="H31" t="s">
        <v>53</v>
      </c>
      <c r="I31">
        <f t="shared" si="0"/>
        <v>0</v>
      </c>
      <c r="J31">
        <f t="shared" si="1"/>
        <v>1</v>
      </c>
      <c r="K31">
        <f t="shared" si="2"/>
        <v>0</v>
      </c>
      <c r="L31">
        <f t="shared" si="3"/>
        <v>0</v>
      </c>
    </row>
    <row r="32" spans="1:12" x14ac:dyDescent="0.45">
      <c r="A32" t="s">
        <v>7</v>
      </c>
      <c r="B32" t="s">
        <v>8</v>
      </c>
      <c r="C32">
        <v>1</v>
      </c>
      <c r="D32" t="s">
        <v>2</v>
      </c>
      <c r="E32">
        <v>4</v>
      </c>
      <c r="F32" t="s">
        <v>52</v>
      </c>
      <c r="G32" t="s">
        <v>54</v>
      </c>
      <c r="H32" t="s">
        <v>53</v>
      </c>
      <c r="I32">
        <f t="shared" si="0"/>
        <v>0</v>
      </c>
      <c r="J32">
        <f t="shared" si="1"/>
        <v>1</v>
      </c>
      <c r="K32">
        <f t="shared" si="2"/>
        <v>0</v>
      </c>
      <c r="L32">
        <f t="shared" si="3"/>
        <v>0</v>
      </c>
    </row>
    <row r="33" spans="1:13" x14ac:dyDescent="0.45">
      <c r="A33" t="s">
        <v>9</v>
      </c>
      <c r="B33" t="s">
        <v>8</v>
      </c>
      <c r="C33">
        <v>1</v>
      </c>
      <c r="D33" t="s">
        <v>2</v>
      </c>
      <c r="E33">
        <v>4</v>
      </c>
      <c r="F33" t="s">
        <v>52</v>
      </c>
      <c r="G33" t="s">
        <v>54</v>
      </c>
      <c r="H33" t="s">
        <v>53</v>
      </c>
      <c r="I33">
        <f t="shared" si="0"/>
        <v>0</v>
      </c>
      <c r="J33">
        <f t="shared" si="1"/>
        <v>1</v>
      </c>
      <c r="K33">
        <f t="shared" si="2"/>
        <v>0</v>
      </c>
      <c r="L33">
        <f t="shared" si="3"/>
        <v>0</v>
      </c>
    </row>
    <row r="34" spans="1:13" x14ac:dyDescent="0.45">
      <c r="A34" t="s">
        <v>7</v>
      </c>
      <c r="B34" t="s">
        <v>1</v>
      </c>
      <c r="C34">
        <v>2</v>
      </c>
      <c r="D34" t="s">
        <v>2</v>
      </c>
      <c r="E34">
        <v>4</v>
      </c>
      <c r="F34" t="s">
        <v>54</v>
      </c>
      <c r="G34" t="s">
        <v>52</v>
      </c>
      <c r="H34" t="s">
        <v>53</v>
      </c>
      <c r="I34">
        <f t="shared" si="0"/>
        <v>0</v>
      </c>
      <c r="J34">
        <f t="shared" si="1"/>
        <v>0</v>
      </c>
      <c r="K34">
        <f t="shared" si="2"/>
        <v>0</v>
      </c>
      <c r="L34">
        <f t="shared" si="3"/>
        <v>0</v>
      </c>
    </row>
    <row r="35" spans="1:13" x14ac:dyDescent="0.45">
      <c r="A35" t="s">
        <v>7</v>
      </c>
      <c r="B35" t="s">
        <v>1</v>
      </c>
      <c r="C35">
        <v>1</v>
      </c>
      <c r="D35" t="s">
        <v>2</v>
      </c>
      <c r="E35">
        <v>4</v>
      </c>
      <c r="F35" t="s">
        <v>11</v>
      </c>
      <c r="G35" t="s">
        <v>52</v>
      </c>
      <c r="H35" t="s">
        <v>53</v>
      </c>
      <c r="I35">
        <f t="shared" si="0"/>
        <v>0</v>
      </c>
      <c r="J35">
        <f t="shared" si="1"/>
        <v>0</v>
      </c>
      <c r="K35">
        <f t="shared" si="2"/>
        <v>0</v>
      </c>
      <c r="L35">
        <f t="shared" si="3"/>
        <v>0</v>
      </c>
    </row>
    <row r="36" spans="1:13" x14ac:dyDescent="0.45">
      <c r="A36" t="s">
        <v>9</v>
      </c>
      <c r="B36" t="s">
        <v>1</v>
      </c>
      <c r="C36">
        <v>1</v>
      </c>
      <c r="D36" t="s">
        <v>2</v>
      </c>
      <c r="E36">
        <v>2</v>
      </c>
      <c r="F36" t="s">
        <v>52</v>
      </c>
      <c r="G36" t="s">
        <v>54</v>
      </c>
      <c r="H36" t="s">
        <v>53</v>
      </c>
      <c r="I36">
        <f t="shared" si="0"/>
        <v>0</v>
      </c>
      <c r="J36">
        <f t="shared" si="1"/>
        <v>1</v>
      </c>
      <c r="K36">
        <f t="shared" si="2"/>
        <v>0</v>
      </c>
      <c r="L36">
        <f t="shared" si="3"/>
        <v>0</v>
      </c>
    </row>
    <row r="37" spans="1:13" x14ac:dyDescent="0.45">
      <c r="A37" t="s">
        <v>9</v>
      </c>
      <c r="B37" t="s">
        <v>1</v>
      </c>
      <c r="C37">
        <v>3</v>
      </c>
      <c r="D37" t="s">
        <v>33</v>
      </c>
      <c r="E37">
        <v>4</v>
      </c>
      <c r="F37" t="s">
        <v>52</v>
      </c>
      <c r="G37" t="s">
        <v>53</v>
      </c>
      <c r="H37" t="s">
        <v>54</v>
      </c>
      <c r="I37">
        <f t="shared" si="0"/>
        <v>1</v>
      </c>
      <c r="J37">
        <f t="shared" si="1"/>
        <v>1</v>
      </c>
      <c r="K37">
        <f t="shared" si="2"/>
        <v>1</v>
      </c>
      <c r="L37">
        <f t="shared" si="3"/>
        <v>1</v>
      </c>
    </row>
    <row r="39" spans="1:13" x14ac:dyDescent="0.45">
      <c r="H39" t="s">
        <v>21</v>
      </c>
      <c r="I39">
        <f>AVERAGE(I2:I37)</f>
        <v>0.30555555555555558</v>
      </c>
    </row>
    <row r="40" spans="1:13" x14ac:dyDescent="0.45">
      <c r="H40" t="s">
        <v>23</v>
      </c>
      <c r="J40">
        <f>AVERAGE(J2:J37)</f>
        <v>0.83333333333333337</v>
      </c>
      <c r="K40">
        <f t="shared" ref="K40:L40" si="4">AVERAGE(K2:K37)</f>
        <v>0.3611111111111111</v>
      </c>
      <c r="L40">
        <f t="shared" si="4"/>
        <v>0.27777777777777779</v>
      </c>
    </row>
    <row r="41" spans="1:13" x14ac:dyDescent="0.45">
      <c r="H41" t="s">
        <v>26</v>
      </c>
      <c r="M41">
        <f>AVERAGE(J2:L37)</f>
        <v>0.49074074074074076</v>
      </c>
    </row>
    <row r="43" spans="1:13" x14ac:dyDescent="0.45">
      <c r="H43" t="s">
        <v>27</v>
      </c>
      <c r="I43">
        <f>AVERAGE(E2:E37)</f>
        <v>3.7222222222222223</v>
      </c>
    </row>
    <row r="44" spans="1:13" x14ac:dyDescent="0.45">
      <c r="H44" t="s">
        <v>28</v>
      </c>
      <c r="I44">
        <f>_xlfn.STDEV.S(E2:E37)</f>
        <v>1.0852547064066471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32EA-9773-42E7-8D2D-65FA4BE154DF}">
  <dimension ref="A1:M230"/>
  <sheetViews>
    <sheetView tabSelected="1" topLeftCell="A208" workbookViewId="0">
      <selection activeCell="M227" sqref="M227"/>
    </sheetView>
  </sheetViews>
  <sheetFormatPr defaultRowHeight="14.25" x14ac:dyDescent="0.45"/>
  <sheetData>
    <row r="1" spans="1:12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24</v>
      </c>
      <c r="L1" t="s">
        <v>25</v>
      </c>
    </row>
    <row r="2" spans="1:12" x14ac:dyDescent="0.45">
      <c r="A2" t="s">
        <v>0</v>
      </c>
      <c r="B2" t="s">
        <v>1</v>
      </c>
      <c r="C2">
        <v>1</v>
      </c>
      <c r="D2" t="s">
        <v>2</v>
      </c>
      <c r="E2">
        <v>5</v>
      </c>
      <c r="F2" t="s">
        <v>3</v>
      </c>
      <c r="G2" t="s">
        <v>3</v>
      </c>
      <c r="H2" t="s">
        <v>4</v>
      </c>
      <c r="I2">
        <f>IF(D2="Anger",1,0)</f>
        <v>0</v>
      </c>
      <c r="J2">
        <f>IF(ISNUMBER(SEARCH("Level 1",F2)),1,0)</f>
        <v>1</v>
      </c>
      <c r="K2">
        <f>IF(ISNUMBER(SEARCH("Level 2",G2)),1,0)</f>
        <v>0</v>
      </c>
      <c r="L2">
        <f>IF(ISNUMBER(SEARCH("Level 3",H2)),1,0)</f>
        <v>1</v>
      </c>
    </row>
    <row r="3" spans="1:12" x14ac:dyDescent="0.45">
      <c r="A3" t="s">
        <v>0</v>
      </c>
      <c r="B3" t="s">
        <v>1</v>
      </c>
      <c r="C3">
        <v>3</v>
      </c>
      <c r="D3" t="s">
        <v>5</v>
      </c>
      <c r="E3">
        <v>5</v>
      </c>
      <c r="F3" t="s">
        <v>4</v>
      </c>
      <c r="G3" t="s">
        <v>6</v>
      </c>
      <c r="H3" t="s">
        <v>4</v>
      </c>
      <c r="I3">
        <f t="shared" ref="I3:I35" si="0">IF(D3="Anger",1,0)</f>
        <v>1</v>
      </c>
      <c r="J3">
        <f t="shared" ref="J3:J35" si="1">IF(ISNUMBER(SEARCH("Level 1",F3)),1,0)</f>
        <v>0</v>
      </c>
      <c r="K3">
        <f t="shared" ref="K3:K35" si="2">IF(ISNUMBER(SEARCH("Level 2",G3)),1,0)</f>
        <v>1</v>
      </c>
      <c r="L3">
        <f t="shared" ref="L3:L35" si="3">IF(ISNUMBER(SEARCH("Level 3",H3)),1,0)</f>
        <v>1</v>
      </c>
    </row>
    <row r="4" spans="1:12" x14ac:dyDescent="0.45">
      <c r="A4" t="s">
        <v>0</v>
      </c>
      <c r="B4" t="s">
        <v>1</v>
      </c>
      <c r="C4">
        <v>2</v>
      </c>
      <c r="D4" t="s">
        <v>5</v>
      </c>
      <c r="E4">
        <v>4</v>
      </c>
      <c r="F4" t="s">
        <v>3</v>
      </c>
      <c r="G4" t="s">
        <v>6</v>
      </c>
      <c r="H4" t="s">
        <v>4</v>
      </c>
      <c r="I4">
        <f t="shared" si="0"/>
        <v>1</v>
      </c>
      <c r="J4">
        <f t="shared" si="1"/>
        <v>1</v>
      </c>
      <c r="K4">
        <f t="shared" si="2"/>
        <v>1</v>
      </c>
      <c r="L4">
        <f t="shared" si="3"/>
        <v>1</v>
      </c>
    </row>
    <row r="5" spans="1:12" x14ac:dyDescent="0.45">
      <c r="A5" t="s">
        <v>0</v>
      </c>
      <c r="B5" t="s">
        <v>1</v>
      </c>
      <c r="C5">
        <v>2</v>
      </c>
      <c r="D5" t="s">
        <v>2</v>
      </c>
      <c r="E5">
        <v>4</v>
      </c>
      <c r="F5" t="s">
        <v>6</v>
      </c>
      <c r="G5" t="s">
        <v>3</v>
      </c>
      <c r="H5" t="s">
        <v>4</v>
      </c>
      <c r="I5">
        <f t="shared" si="0"/>
        <v>0</v>
      </c>
      <c r="J5">
        <f t="shared" si="1"/>
        <v>0</v>
      </c>
      <c r="K5">
        <f t="shared" si="2"/>
        <v>0</v>
      </c>
      <c r="L5">
        <f t="shared" si="3"/>
        <v>1</v>
      </c>
    </row>
    <row r="6" spans="1:12" x14ac:dyDescent="0.45">
      <c r="A6" t="s">
        <v>7</v>
      </c>
      <c r="B6" t="s">
        <v>8</v>
      </c>
      <c r="C6">
        <v>4</v>
      </c>
      <c r="D6" t="s">
        <v>5</v>
      </c>
      <c r="E6">
        <v>5</v>
      </c>
      <c r="F6" t="s">
        <v>3</v>
      </c>
      <c r="G6" t="s">
        <v>3</v>
      </c>
      <c r="H6" t="s">
        <v>4</v>
      </c>
      <c r="I6">
        <f t="shared" si="0"/>
        <v>1</v>
      </c>
      <c r="J6">
        <f t="shared" si="1"/>
        <v>1</v>
      </c>
      <c r="K6">
        <f t="shared" si="2"/>
        <v>0</v>
      </c>
      <c r="L6">
        <f t="shared" si="3"/>
        <v>1</v>
      </c>
    </row>
    <row r="7" spans="1:12" x14ac:dyDescent="0.45">
      <c r="A7" t="s">
        <v>0</v>
      </c>
      <c r="B7" t="s">
        <v>1</v>
      </c>
      <c r="C7">
        <v>3</v>
      </c>
      <c r="D7" t="s">
        <v>5</v>
      </c>
      <c r="E7">
        <v>4</v>
      </c>
      <c r="F7" t="s">
        <v>3</v>
      </c>
      <c r="G7" t="s">
        <v>3</v>
      </c>
      <c r="H7" t="s">
        <v>4</v>
      </c>
      <c r="I7">
        <f t="shared" si="0"/>
        <v>1</v>
      </c>
      <c r="J7">
        <f t="shared" si="1"/>
        <v>1</v>
      </c>
      <c r="K7">
        <f t="shared" si="2"/>
        <v>0</v>
      </c>
      <c r="L7">
        <f t="shared" si="3"/>
        <v>1</v>
      </c>
    </row>
    <row r="8" spans="1:12" x14ac:dyDescent="0.45">
      <c r="A8" t="s">
        <v>7</v>
      </c>
      <c r="B8" t="s">
        <v>1</v>
      </c>
      <c r="C8">
        <v>3</v>
      </c>
      <c r="D8" t="s">
        <v>5</v>
      </c>
      <c r="E8">
        <v>5</v>
      </c>
      <c r="F8" t="s">
        <v>3</v>
      </c>
      <c r="G8" t="s">
        <v>6</v>
      </c>
      <c r="H8" t="s">
        <v>4</v>
      </c>
      <c r="I8">
        <f t="shared" si="0"/>
        <v>1</v>
      </c>
      <c r="J8">
        <f t="shared" si="1"/>
        <v>1</v>
      </c>
      <c r="K8">
        <f t="shared" si="2"/>
        <v>1</v>
      </c>
      <c r="L8">
        <f t="shared" si="3"/>
        <v>1</v>
      </c>
    </row>
    <row r="9" spans="1:12" x14ac:dyDescent="0.45">
      <c r="A9" t="s">
        <v>0</v>
      </c>
      <c r="B9" t="s">
        <v>1</v>
      </c>
      <c r="C9">
        <v>2</v>
      </c>
      <c r="D9" t="s">
        <v>5</v>
      </c>
      <c r="E9">
        <v>5</v>
      </c>
      <c r="F9" t="s">
        <v>3</v>
      </c>
      <c r="G9" t="s">
        <v>3</v>
      </c>
      <c r="H9" t="s">
        <v>6</v>
      </c>
      <c r="I9">
        <f t="shared" si="0"/>
        <v>1</v>
      </c>
      <c r="J9">
        <f t="shared" si="1"/>
        <v>1</v>
      </c>
      <c r="K9">
        <f t="shared" si="2"/>
        <v>0</v>
      </c>
      <c r="L9">
        <f t="shared" si="3"/>
        <v>0</v>
      </c>
    </row>
    <row r="10" spans="1:12" x14ac:dyDescent="0.45">
      <c r="A10" t="s">
        <v>9</v>
      </c>
      <c r="B10" t="s">
        <v>1</v>
      </c>
      <c r="C10">
        <v>3</v>
      </c>
      <c r="D10" t="s">
        <v>5</v>
      </c>
      <c r="E10">
        <v>5</v>
      </c>
      <c r="F10" t="s">
        <v>3</v>
      </c>
      <c r="G10" t="s">
        <v>6</v>
      </c>
      <c r="H10" t="s">
        <v>4</v>
      </c>
      <c r="I10">
        <f t="shared" si="0"/>
        <v>1</v>
      </c>
      <c r="J10">
        <f t="shared" si="1"/>
        <v>1</v>
      </c>
      <c r="K10">
        <f t="shared" si="2"/>
        <v>1</v>
      </c>
      <c r="L10">
        <f t="shared" si="3"/>
        <v>1</v>
      </c>
    </row>
    <row r="11" spans="1:12" x14ac:dyDescent="0.45">
      <c r="A11" t="s">
        <v>0</v>
      </c>
      <c r="B11" t="s">
        <v>1</v>
      </c>
      <c r="C11">
        <v>4</v>
      </c>
      <c r="D11" t="s">
        <v>5</v>
      </c>
      <c r="E11">
        <v>5</v>
      </c>
      <c r="F11" t="s">
        <v>3</v>
      </c>
      <c r="G11" t="s">
        <v>3</v>
      </c>
      <c r="H11" t="s">
        <v>4</v>
      </c>
      <c r="I11">
        <f t="shared" si="0"/>
        <v>1</v>
      </c>
      <c r="J11">
        <f t="shared" si="1"/>
        <v>1</v>
      </c>
      <c r="K11">
        <f t="shared" si="2"/>
        <v>0</v>
      </c>
      <c r="L11">
        <f t="shared" si="3"/>
        <v>1</v>
      </c>
    </row>
    <row r="12" spans="1:12" x14ac:dyDescent="0.45">
      <c r="A12" t="s">
        <v>0</v>
      </c>
      <c r="B12" t="s">
        <v>8</v>
      </c>
      <c r="C12">
        <v>4</v>
      </c>
      <c r="D12" t="s">
        <v>2</v>
      </c>
      <c r="E12">
        <v>5</v>
      </c>
      <c r="F12" t="s">
        <v>3</v>
      </c>
      <c r="G12" t="s">
        <v>6</v>
      </c>
      <c r="H12" t="s">
        <v>4</v>
      </c>
      <c r="I12">
        <f t="shared" si="0"/>
        <v>0</v>
      </c>
      <c r="J12">
        <f t="shared" si="1"/>
        <v>1</v>
      </c>
      <c r="K12">
        <f t="shared" si="2"/>
        <v>1</v>
      </c>
      <c r="L12">
        <f t="shared" si="3"/>
        <v>1</v>
      </c>
    </row>
    <row r="13" spans="1:12" x14ac:dyDescent="0.45">
      <c r="A13" t="s">
        <v>10</v>
      </c>
      <c r="B13" t="s">
        <v>1</v>
      </c>
      <c r="C13">
        <v>5</v>
      </c>
      <c r="D13" t="s">
        <v>5</v>
      </c>
      <c r="E13">
        <v>5</v>
      </c>
      <c r="F13" t="s">
        <v>3</v>
      </c>
      <c r="G13" t="s">
        <v>3</v>
      </c>
      <c r="H13" t="s">
        <v>4</v>
      </c>
      <c r="I13">
        <f t="shared" si="0"/>
        <v>1</v>
      </c>
      <c r="J13">
        <f t="shared" si="1"/>
        <v>1</v>
      </c>
      <c r="K13">
        <f t="shared" si="2"/>
        <v>0</v>
      </c>
      <c r="L13">
        <f t="shared" si="3"/>
        <v>1</v>
      </c>
    </row>
    <row r="14" spans="1:12" x14ac:dyDescent="0.45">
      <c r="A14" t="s">
        <v>0</v>
      </c>
      <c r="B14" t="s">
        <v>8</v>
      </c>
      <c r="C14">
        <v>4</v>
      </c>
      <c r="D14" t="s">
        <v>5</v>
      </c>
      <c r="E14">
        <v>5</v>
      </c>
      <c r="F14" t="s">
        <v>3</v>
      </c>
      <c r="G14" t="s">
        <v>3</v>
      </c>
      <c r="H14" t="s">
        <v>4</v>
      </c>
      <c r="I14">
        <f t="shared" si="0"/>
        <v>1</v>
      </c>
      <c r="J14">
        <f t="shared" si="1"/>
        <v>1</v>
      </c>
      <c r="K14">
        <f t="shared" si="2"/>
        <v>0</v>
      </c>
      <c r="L14">
        <f t="shared" si="3"/>
        <v>1</v>
      </c>
    </row>
    <row r="15" spans="1:12" x14ac:dyDescent="0.45">
      <c r="A15" t="s">
        <v>9</v>
      </c>
      <c r="B15" t="s">
        <v>8</v>
      </c>
      <c r="C15">
        <v>1</v>
      </c>
      <c r="D15" t="s">
        <v>5</v>
      </c>
      <c r="E15">
        <v>5</v>
      </c>
      <c r="F15" t="s">
        <v>3</v>
      </c>
      <c r="G15" t="s">
        <v>6</v>
      </c>
      <c r="H15" t="s">
        <v>4</v>
      </c>
      <c r="I15">
        <f t="shared" si="0"/>
        <v>1</v>
      </c>
      <c r="J15">
        <f t="shared" si="1"/>
        <v>1</v>
      </c>
      <c r="K15">
        <f t="shared" si="2"/>
        <v>1</v>
      </c>
      <c r="L15">
        <f t="shared" si="3"/>
        <v>1</v>
      </c>
    </row>
    <row r="16" spans="1:12" x14ac:dyDescent="0.45">
      <c r="A16" t="s">
        <v>9</v>
      </c>
      <c r="B16" t="s">
        <v>8</v>
      </c>
      <c r="C16">
        <v>2</v>
      </c>
      <c r="D16" t="s">
        <v>5</v>
      </c>
      <c r="E16">
        <v>5</v>
      </c>
      <c r="F16" t="s">
        <v>3</v>
      </c>
      <c r="G16" t="s">
        <v>6</v>
      </c>
      <c r="H16" t="s">
        <v>4</v>
      </c>
      <c r="I16">
        <f t="shared" si="0"/>
        <v>1</v>
      </c>
      <c r="J16">
        <f t="shared" si="1"/>
        <v>1</v>
      </c>
      <c r="K16">
        <f t="shared" si="2"/>
        <v>1</v>
      </c>
      <c r="L16">
        <f t="shared" si="3"/>
        <v>1</v>
      </c>
    </row>
    <row r="17" spans="1:12" x14ac:dyDescent="0.45">
      <c r="A17" t="s">
        <v>0</v>
      </c>
      <c r="B17" t="s">
        <v>8</v>
      </c>
      <c r="C17">
        <v>1</v>
      </c>
      <c r="D17" t="s">
        <v>5</v>
      </c>
      <c r="E17">
        <v>4</v>
      </c>
      <c r="F17" t="s">
        <v>3</v>
      </c>
      <c r="G17" t="s">
        <v>6</v>
      </c>
      <c r="H17" t="s">
        <v>4</v>
      </c>
      <c r="I17">
        <f t="shared" si="0"/>
        <v>1</v>
      </c>
      <c r="J17">
        <f t="shared" si="1"/>
        <v>1</v>
      </c>
      <c r="K17">
        <f t="shared" si="2"/>
        <v>1</v>
      </c>
      <c r="L17">
        <f t="shared" si="3"/>
        <v>1</v>
      </c>
    </row>
    <row r="18" spans="1:12" x14ac:dyDescent="0.45">
      <c r="A18" t="s">
        <v>0</v>
      </c>
      <c r="B18" t="s">
        <v>1</v>
      </c>
      <c r="C18">
        <v>1</v>
      </c>
      <c r="D18" t="s">
        <v>11</v>
      </c>
      <c r="E18">
        <v>3</v>
      </c>
      <c r="F18" t="s">
        <v>3</v>
      </c>
      <c r="G18" t="s">
        <v>3</v>
      </c>
      <c r="H18" t="s">
        <v>6</v>
      </c>
      <c r="I18">
        <f t="shared" si="0"/>
        <v>0</v>
      </c>
      <c r="J18">
        <f t="shared" si="1"/>
        <v>1</v>
      </c>
      <c r="K18">
        <f t="shared" si="2"/>
        <v>0</v>
      </c>
      <c r="L18">
        <f t="shared" si="3"/>
        <v>0</v>
      </c>
    </row>
    <row r="19" spans="1:12" x14ac:dyDescent="0.45">
      <c r="A19" t="s">
        <v>9</v>
      </c>
      <c r="B19" t="s">
        <v>1</v>
      </c>
      <c r="C19">
        <v>5</v>
      </c>
      <c r="D19" t="s">
        <v>5</v>
      </c>
      <c r="E19">
        <v>5</v>
      </c>
      <c r="F19" t="s">
        <v>3</v>
      </c>
      <c r="G19" t="s">
        <v>6</v>
      </c>
      <c r="H19" t="s">
        <v>4</v>
      </c>
      <c r="I19">
        <f t="shared" si="0"/>
        <v>1</v>
      </c>
      <c r="J19">
        <f t="shared" si="1"/>
        <v>1</v>
      </c>
      <c r="K19">
        <f t="shared" si="2"/>
        <v>1</v>
      </c>
      <c r="L19">
        <f t="shared" si="3"/>
        <v>1</v>
      </c>
    </row>
    <row r="20" spans="1:12" x14ac:dyDescent="0.45">
      <c r="A20" t="s">
        <v>0</v>
      </c>
      <c r="B20" t="s">
        <v>1</v>
      </c>
      <c r="C20">
        <v>3</v>
      </c>
      <c r="D20" t="s">
        <v>2</v>
      </c>
      <c r="E20">
        <v>5</v>
      </c>
      <c r="F20" t="s">
        <v>3</v>
      </c>
      <c r="G20" t="s">
        <v>3</v>
      </c>
      <c r="H20" t="s">
        <v>4</v>
      </c>
      <c r="I20">
        <f t="shared" si="0"/>
        <v>0</v>
      </c>
      <c r="J20">
        <f t="shared" si="1"/>
        <v>1</v>
      </c>
      <c r="K20">
        <f t="shared" si="2"/>
        <v>0</v>
      </c>
      <c r="L20">
        <f t="shared" si="3"/>
        <v>1</v>
      </c>
    </row>
    <row r="21" spans="1:12" x14ac:dyDescent="0.45">
      <c r="A21" t="s">
        <v>7</v>
      </c>
      <c r="B21" t="s">
        <v>8</v>
      </c>
      <c r="C21">
        <v>1</v>
      </c>
      <c r="D21" t="s">
        <v>2</v>
      </c>
      <c r="E21">
        <v>5</v>
      </c>
      <c r="F21" t="s">
        <v>3</v>
      </c>
      <c r="G21" t="s">
        <v>3</v>
      </c>
      <c r="H21" t="s">
        <v>4</v>
      </c>
      <c r="I21">
        <f t="shared" si="0"/>
        <v>0</v>
      </c>
      <c r="J21">
        <f t="shared" si="1"/>
        <v>1</v>
      </c>
      <c r="K21">
        <f t="shared" si="2"/>
        <v>0</v>
      </c>
      <c r="L21">
        <f t="shared" si="3"/>
        <v>1</v>
      </c>
    </row>
    <row r="22" spans="1:12" x14ac:dyDescent="0.45">
      <c r="A22" t="s">
        <v>7</v>
      </c>
      <c r="B22" t="s">
        <v>8</v>
      </c>
      <c r="C22">
        <v>1</v>
      </c>
      <c r="D22" t="s">
        <v>2</v>
      </c>
      <c r="E22">
        <v>4</v>
      </c>
      <c r="F22" t="s">
        <v>3</v>
      </c>
      <c r="G22" t="s">
        <v>6</v>
      </c>
      <c r="H22" t="s">
        <v>4</v>
      </c>
      <c r="I22">
        <f t="shared" si="0"/>
        <v>0</v>
      </c>
      <c r="J22">
        <f t="shared" si="1"/>
        <v>1</v>
      </c>
      <c r="K22">
        <f t="shared" si="2"/>
        <v>1</v>
      </c>
      <c r="L22">
        <f t="shared" si="3"/>
        <v>1</v>
      </c>
    </row>
    <row r="23" spans="1:12" x14ac:dyDescent="0.45">
      <c r="A23" t="s">
        <v>7</v>
      </c>
      <c r="B23" t="s">
        <v>8</v>
      </c>
      <c r="C23">
        <v>1</v>
      </c>
      <c r="D23" t="s">
        <v>5</v>
      </c>
      <c r="E23">
        <v>1</v>
      </c>
      <c r="F23" t="s">
        <v>3</v>
      </c>
      <c r="G23" t="s">
        <v>3</v>
      </c>
      <c r="H23" t="s">
        <v>4</v>
      </c>
      <c r="I23">
        <f t="shared" si="0"/>
        <v>1</v>
      </c>
      <c r="J23">
        <f t="shared" si="1"/>
        <v>1</v>
      </c>
      <c r="K23">
        <f t="shared" si="2"/>
        <v>0</v>
      </c>
      <c r="L23">
        <f t="shared" si="3"/>
        <v>1</v>
      </c>
    </row>
    <row r="24" spans="1:12" x14ac:dyDescent="0.45">
      <c r="A24" t="s">
        <v>7</v>
      </c>
      <c r="B24" t="s">
        <v>8</v>
      </c>
      <c r="C24">
        <v>1</v>
      </c>
      <c r="D24" t="s">
        <v>5</v>
      </c>
      <c r="E24">
        <v>1</v>
      </c>
      <c r="F24" t="s">
        <v>3</v>
      </c>
      <c r="G24" t="s">
        <v>6</v>
      </c>
      <c r="H24" t="s">
        <v>4</v>
      </c>
      <c r="I24">
        <f t="shared" si="0"/>
        <v>1</v>
      </c>
      <c r="J24">
        <f t="shared" si="1"/>
        <v>1</v>
      </c>
      <c r="K24">
        <f t="shared" si="2"/>
        <v>1</v>
      </c>
      <c r="L24">
        <f t="shared" si="3"/>
        <v>1</v>
      </c>
    </row>
    <row r="25" spans="1:12" x14ac:dyDescent="0.45">
      <c r="A25" t="s">
        <v>7</v>
      </c>
      <c r="B25" t="s">
        <v>1</v>
      </c>
      <c r="C25">
        <v>1</v>
      </c>
      <c r="D25" t="s">
        <v>2</v>
      </c>
      <c r="E25">
        <v>5</v>
      </c>
      <c r="F25" t="s">
        <v>3</v>
      </c>
      <c r="G25" t="s">
        <v>3</v>
      </c>
      <c r="H25" t="s">
        <v>4</v>
      </c>
      <c r="I25">
        <f t="shared" si="0"/>
        <v>0</v>
      </c>
      <c r="J25">
        <f t="shared" si="1"/>
        <v>1</v>
      </c>
      <c r="K25">
        <f t="shared" si="2"/>
        <v>0</v>
      </c>
      <c r="L25">
        <f t="shared" si="3"/>
        <v>1</v>
      </c>
    </row>
    <row r="26" spans="1:12" x14ac:dyDescent="0.45">
      <c r="A26" t="s">
        <v>9</v>
      </c>
      <c r="B26" t="s">
        <v>8</v>
      </c>
      <c r="C26">
        <v>2</v>
      </c>
      <c r="D26" t="s">
        <v>5</v>
      </c>
      <c r="E26">
        <v>4</v>
      </c>
      <c r="F26" t="s">
        <v>3</v>
      </c>
      <c r="G26" t="s">
        <v>3</v>
      </c>
      <c r="H26" t="s">
        <v>4</v>
      </c>
      <c r="I26">
        <f t="shared" si="0"/>
        <v>1</v>
      </c>
      <c r="J26">
        <f t="shared" si="1"/>
        <v>1</v>
      </c>
      <c r="K26">
        <f t="shared" si="2"/>
        <v>0</v>
      </c>
      <c r="L26">
        <f t="shared" si="3"/>
        <v>1</v>
      </c>
    </row>
    <row r="27" spans="1:12" x14ac:dyDescent="0.45">
      <c r="A27" t="s">
        <v>0</v>
      </c>
      <c r="B27" t="s">
        <v>8</v>
      </c>
      <c r="C27">
        <v>1</v>
      </c>
      <c r="D27" t="s">
        <v>5</v>
      </c>
      <c r="E27">
        <v>4</v>
      </c>
      <c r="F27" t="s">
        <v>3</v>
      </c>
      <c r="G27" t="s">
        <v>6</v>
      </c>
      <c r="H27" t="s">
        <v>4</v>
      </c>
      <c r="I27">
        <f t="shared" si="0"/>
        <v>1</v>
      </c>
      <c r="J27">
        <f t="shared" si="1"/>
        <v>1</v>
      </c>
      <c r="K27">
        <f t="shared" si="2"/>
        <v>1</v>
      </c>
      <c r="L27">
        <f t="shared" si="3"/>
        <v>1</v>
      </c>
    </row>
    <row r="28" spans="1:12" x14ac:dyDescent="0.45">
      <c r="A28" t="s">
        <v>0</v>
      </c>
      <c r="B28" t="s">
        <v>8</v>
      </c>
      <c r="C28">
        <v>1</v>
      </c>
      <c r="D28" t="s">
        <v>2</v>
      </c>
      <c r="E28">
        <v>3</v>
      </c>
      <c r="F28" t="s">
        <v>6</v>
      </c>
      <c r="G28" t="s">
        <v>3</v>
      </c>
      <c r="H28" t="s">
        <v>4</v>
      </c>
      <c r="I28">
        <f t="shared" si="0"/>
        <v>0</v>
      </c>
      <c r="J28">
        <f t="shared" si="1"/>
        <v>0</v>
      </c>
      <c r="K28">
        <f t="shared" si="2"/>
        <v>0</v>
      </c>
      <c r="L28">
        <f t="shared" si="3"/>
        <v>1</v>
      </c>
    </row>
    <row r="29" spans="1:12" x14ac:dyDescent="0.45">
      <c r="A29" t="s">
        <v>7</v>
      </c>
      <c r="B29" t="s">
        <v>8</v>
      </c>
      <c r="C29">
        <v>1</v>
      </c>
      <c r="D29" t="s">
        <v>5</v>
      </c>
      <c r="E29">
        <v>5</v>
      </c>
      <c r="F29" t="s">
        <v>3</v>
      </c>
      <c r="G29" t="s">
        <v>6</v>
      </c>
      <c r="H29" t="s">
        <v>4</v>
      </c>
      <c r="I29">
        <f t="shared" si="0"/>
        <v>1</v>
      </c>
      <c r="J29">
        <f t="shared" si="1"/>
        <v>1</v>
      </c>
      <c r="K29">
        <f t="shared" si="2"/>
        <v>1</v>
      </c>
      <c r="L29">
        <f t="shared" si="3"/>
        <v>1</v>
      </c>
    </row>
    <row r="30" spans="1:12" x14ac:dyDescent="0.45">
      <c r="A30" t="s">
        <v>7</v>
      </c>
      <c r="B30" t="s">
        <v>1</v>
      </c>
      <c r="C30">
        <v>2</v>
      </c>
      <c r="D30" t="s">
        <v>5</v>
      </c>
      <c r="E30">
        <v>5</v>
      </c>
      <c r="F30" t="s">
        <v>3</v>
      </c>
      <c r="G30" t="s">
        <v>3</v>
      </c>
      <c r="H30" t="s">
        <v>4</v>
      </c>
      <c r="I30">
        <f t="shared" si="0"/>
        <v>1</v>
      </c>
      <c r="J30">
        <f t="shared" si="1"/>
        <v>1</v>
      </c>
      <c r="K30">
        <f t="shared" si="2"/>
        <v>0</v>
      </c>
      <c r="L30">
        <f t="shared" si="3"/>
        <v>1</v>
      </c>
    </row>
    <row r="31" spans="1:12" x14ac:dyDescent="0.45">
      <c r="A31" t="s">
        <v>9</v>
      </c>
      <c r="B31" t="s">
        <v>1</v>
      </c>
      <c r="C31">
        <v>1</v>
      </c>
      <c r="D31" t="s">
        <v>2</v>
      </c>
      <c r="E31">
        <v>5</v>
      </c>
      <c r="F31" t="s">
        <v>3</v>
      </c>
      <c r="G31" t="s">
        <v>6</v>
      </c>
      <c r="H31" t="s">
        <v>4</v>
      </c>
      <c r="I31">
        <f t="shared" si="0"/>
        <v>0</v>
      </c>
      <c r="J31">
        <f t="shared" si="1"/>
        <v>1</v>
      </c>
      <c r="K31">
        <f t="shared" si="2"/>
        <v>1</v>
      </c>
      <c r="L31">
        <f t="shared" si="3"/>
        <v>1</v>
      </c>
    </row>
    <row r="32" spans="1:12" x14ac:dyDescent="0.45">
      <c r="A32" t="s">
        <v>9</v>
      </c>
      <c r="B32" t="s">
        <v>1</v>
      </c>
      <c r="C32">
        <v>3</v>
      </c>
      <c r="D32" t="s">
        <v>5</v>
      </c>
      <c r="E32">
        <v>5</v>
      </c>
      <c r="F32" t="s">
        <v>3</v>
      </c>
      <c r="G32" t="s">
        <v>6</v>
      </c>
      <c r="H32" t="s">
        <v>4</v>
      </c>
      <c r="I32">
        <f t="shared" si="0"/>
        <v>1</v>
      </c>
      <c r="J32">
        <f t="shared" si="1"/>
        <v>1</v>
      </c>
      <c r="K32">
        <f t="shared" si="2"/>
        <v>1</v>
      </c>
      <c r="L32">
        <f t="shared" si="3"/>
        <v>1</v>
      </c>
    </row>
    <row r="33" spans="1:12" x14ac:dyDescent="0.45">
      <c r="A33" t="s">
        <v>10</v>
      </c>
      <c r="B33" t="s">
        <v>1</v>
      </c>
      <c r="C33">
        <v>3</v>
      </c>
      <c r="D33" t="s">
        <v>5</v>
      </c>
      <c r="E33">
        <v>5</v>
      </c>
      <c r="F33" t="s">
        <v>6</v>
      </c>
      <c r="G33" t="s">
        <v>3</v>
      </c>
      <c r="H33" t="s">
        <v>4</v>
      </c>
      <c r="I33">
        <f t="shared" si="0"/>
        <v>1</v>
      </c>
      <c r="J33">
        <f t="shared" si="1"/>
        <v>0</v>
      </c>
      <c r="K33">
        <f t="shared" si="2"/>
        <v>0</v>
      </c>
      <c r="L33">
        <f t="shared" si="3"/>
        <v>1</v>
      </c>
    </row>
    <row r="34" spans="1:12" x14ac:dyDescent="0.45">
      <c r="A34" t="s">
        <v>9</v>
      </c>
      <c r="B34" t="s">
        <v>8</v>
      </c>
      <c r="C34">
        <v>3</v>
      </c>
      <c r="D34" t="s">
        <v>5</v>
      </c>
      <c r="E34">
        <v>5</v>
      </c>
      <c r="F34" t="s">
        <v>6</v>
      </c>
      <c r="G34" t="s">
        <v>3</v>
      </c>
      <c r="H34" t="s">
        <v>4</v>
      </c>
      <c r="I34">
        <f t="shared" si="0"/>
        <v>1</v>
      </c>
      <c r="J34">
        <f t="shared" si="1"/>
        <v>0</v>
      </c>
      <c r="K34">
        <f t="shared" si="2"/>
        <v>0</v>
      </c>
      <c r="L34">
        <f t="shared" si="3"/>
        <v>1</v>
      </c>
    </row>
    <row r="35" spans="1:12" x14ac:dyDescent="0.45">
      <c r="A35" t="s">
        <v>9</v>
      </c>
      <c r="B35" t="s">
        <v>1</v>
      </c>
      <c r="C35">
        <v>3</v>
      </c>
      <c r="D35" t="s">
        <v>5</v>
      </c>
      <c r="E35">
        <v>4</v>
      </c>
      <c r="F35" t="s">
        <v>3</v>
      </c>
      <c r="G35" t="s">
        <v>6</v>
      </c>
      <c r="H35" t="s">
        <v>4</v>
      </c>
      <c r="I35">
        <f t="shared" si="0"/>
        <v>1</v>
      </c>
      <c r="J35">
        <f t="shared" si="1"/>
        <v>1</v>
      </c>
      <c r="K35">
        <f t="shared" si="2"/>
        <v>1</v>
      </c>
      <c r="L35">
        <f t="shared" si="3"/>
        <v>1</v>
      </c>
    </row>
    <row r="36" spans="1:12" x14ac:dyDescent="0.45">
      <c r="A36" t="s">
        <v>0</v>
      </c>
      <c r="B36" t="s">
        <v>8</v>
      </c>
      <c r="C36">
        <v>2</v>
      </c>
      <c r="D36" t="s">
        <v>29</v>
      </c>
      <c r="E36">
        <v>3</v>
      </c>
      <c r="F36" t="s">
        <v>30</v>
      </c>
      <c r="G36" t="s">
        <v>31</v>
      </c>
      <c r="H36" t="s">
        <v>32</v>
      </c>
      <c r="I36">
        <f>IF(D36="Anticipation",1,0)</f>
        <v>1</v>
      </c>
      <c r="J36">
        <f>IF(ISNUMBER(SEARCH("Level 2",F36)),1,0)</f>
        <v>1</v>
      </c>
      <c r="K36">
        <f>IF(ISNUMBER(SEARCH("Level 3",G36)),1,0)</f>
        <v>1</v>
      </c>
      <c r="L36">
        <f>IF(ISNUMBER(SEARCH("Level 1",H36)),1,0)</f>
        <v>1</v>
      </c>
    </row>
    <row r="37" spans="1:12" x14ac:dyDescent="0.45">
      <c r="A37" t="s">
        <v>0</v>
      </c>
      <c r="B37" t="s">
        <v>8</v>
      </c>
      <c r="C37">
        <v>4</v>
      </c>
      <c r="D37" t="s">
        <v>29</v>
      </c>
      <c r="E37">
        <v>5</v>
      </c>
      <c r="F37" t="s">
        <v>30</v>
      </c>
      <c r="G37" t="s">
        <v>31</v>
      </c>
      <c r="H37" t="s">
        <v>32</v>
      </c>
      <c r="I37">
        <f t="shared" ref="I37:I70" si="4">IF(D37="Anticipation",1,0)</f>
        <v>1</v>
      </c>
      <c r="J37">
        <f t="shared" ref="J37:J70" si="5">IF(ISNUMBER(SEARCH("Level 2",F37)),1,0)</f>
        <v>1</v>
      </c>
      <c r="K37">
        <f t="shared" ref="K37:K70" si="6">IF(ISNUMBER(SEARCH("Level 3",G37)),1,0)</f>
        <v>1</v>
      </c>
      <c r="L37">
        <f t="shared" ref="L37:L70" si="7">IF(ISNUMBER(SEARCH("Level 1",H37)),1,0)</f>
        <v>1</v>
      </c>
    </row>
    <row r="38" spans="1:12" x14ac:dyDescent="0.45">
      <c r="A38" t="s">
        <v>7</v>
      </c>
      <c r="B38" t="s">
        <v>8</v>
      </c>
      <c r="C38">
        <v>4</v>
      </c>
      <c r="D38" t="s">
        <v>33</v>
      </c>
      <c r="E38">
        <v>5</v>
      </c>
      <c r="F38" t="s">
        <v>30</v>
      </c>
      <c r="G38" t="s">
        <v>31</v>
      </c>
      <c r="H38" t="s">
        <v>32</v>
      </c>
      <c r="I38">
        <f t="shared" si="4"/>
        <v>0</v>
      </c>
      <c r="J38">
        <f t="shared" si="5"/>
        <v>1</v>
      </c>
      <c r="K38">
        <f t="shared" si="6"/>
        <v>1</v>
      </c>
      <c r="L38">
        <f t="shared" si="7"/>
        <v>1</v>
      </c>
    </row>
    <row r="39" spans="1:12" x14ac:dyDescent="0.45">
      <c r="A39" t="s">
        <v>0</v>
      </c>
      <c r="B39" t="s">
        <v>1</v>
      </c>
      <c r="C39">
        <v>2</v>
      </c>
      <c r="D39" t="s">
        <v>29</v>
      </c>
      <c r="E39">
        <v>4</v>
      </c>
      <c r="F39" t="s">
        <v>30</v>
      </c>
      <c r="G39" t="s">
        <v>31</v>
      </c>
      <c r="H39" t="s">
        <v>32</v>
      </c>
      <c r="I39">
        <f t="shared" si="4"/>
        <v>1</v>
      </c>
      <c r="J39">
        <f t="shared" si="5"/>
        <v>1</v>
      </c>
      <c r="K39">
        <f t="shared" si="6"/>
        <v>1</v>
      </c>
      <c r="L39">
        <f t="shared" si="7"/>
        <v>1</v>
      </c>
    </row>
    <row r="40" spans="1:12" x14ac:dyDescent="0.45">
      <c r="A40" t="s">
        <v>7</v>
      </c>
      <c r="B40" t="s">
        <v>1</v>
      </c>
      <c r="C40">
        <v>3</v>
      </c>
      <c r="D40" t="s">
        <v>33</v>
      </c>
      <c r="E40">
        <v>4</v>
      </c>
      <c r="F40" t="s">
        <v>30</v>
      </c>
      <c r="G40" t="s">
        <v>31</v>
      </c>
      <c r="H40" t="s">
        <v>32</v>
      </c>
      <c r="I40">
        <f t="shared" si="4"/>
        <v>0</v>
      </c>
      <c r="J40">
        <f t="shared" si="5"/>
        <v>1</v>
      </c>
      <c r="K40">
        <f t="shared" si="6"/>
        <v>1</v>
      </c>
      <c r="L40">
        <f t="shared" si="7"/>
        <v>1</v>
      </c>
    </row>
    <row r="41" spans="1:12" x14ac:dyDescent="0.45">
      <c r="A41" t="s">
        <v>7</v>
      </c>
      <c r="B41" t="s">
        <v>1</v>
      </c>
      <c r="C41">
        <v>3</v>
      </c>
      <c r="D41" t="s">
        <v>29</v>
      </c>
      <c r="E41">
        <v>5</v>
      </c>
      <c r="F41" t="s">
        <v>30</v>
      </c>
      <c r="G41" t="s">
        <v>31</v>
      </c>
      <c r="H41" t="s">
        <v>32</v>
      </c>
      <c r="I41">
        <f t="shared" si="4"/>
        <v>1</v>
      </c>
      <c r="J41">
        <f t="shared" si="5"/>
        <v>1</v>
      </c>
      <c r="K41">
        <f t="shared" si="6"/>
        <v>1</v>
      </c>
      <c r="L41">
        <f t="shared" si="7"/>
        <v>1</v>
      </c>
    </row>
    <row r="42" spans="1:12" x14ac:dyDescent="0.45">
      <c r="A42" t="s">
        <v>9</v>
      </c>
      <c r="B42" t="s">
        <v>1</v>
      </c>
      <c r="C42">
        <v>3</v>
      </c>
      <c r="D42" t="s">
        <v>33</v>
      </c>
      <c r="E42">
        <v>5</v>
      </c>
      <c r="F42" t="s">
        <v>30</v>
      </c>
      <c r="G42" t="s">
        <v>31</v>
      </c>
      <c r="H42" t="s">
        <v>32</v>
      </c>
      <c r="I42">
        <f t="shared" si="4"/>
        <v>0</v>
      </c>
      <c r="J42">
        <f t="shared" si="5"/>
        <v>1</v>
      </c>
      <c r="K42">
        <f t="shared" si="6"/>
        <v>1</v>
      </c>
      <c r="L42">
        <f t="shared" si="7"/>
        <v>1</v>
      </c>
    </row>
    <row r="43" spans="1:12" x14ac:dyDescent="0.45">
      <c r="A43" t="s">
        <v>9</v>
      </c>
      <c r="B43" t="s">
        <v>1</v>
      </c>
      <c r="C43">
        <v>4</v>
      </c>
      <c r="D43" t="s">
        <v>33</v>
      </c>
      <c r="E43">
        <v>4</v>
      </c>
      <c r="F43" t="s">
        <v>30</v>
      </c>
      <c r="G43" t="s">
        <v>31</v>
      </c>
      <c r="H43" t="s">
        <v>32</v>
      </c>
      <c r="I43">
        <f t="shared" si="4"/>
        <v>0</v>
      </c>
      <c r="J43">
        <f t="shared" si="5"/>
        <v>1</v>
      </c>
      <c r="K43">
        <f t="shared" si="6"/>
        <v>1</v>
      </c>
      <c r="L43">
        <f t="shared" si="7"/>
        <v>1</v>
      </c>
    </row>
    <row r="44" spans="1:12" x14ac:dyDescent="0.45">
      <c r="A44" t="s">
        <v>0</v>
      </c>
      <c r="B44" t="s">
        <v>8</v>
      </c>
      <c r="C44">
        <v>4</v>
      </c>
      <c r="D44" t="s">
        <v>33</v>
      </c>
      <c r="E44">
        <v>3</v>
      </c>
      <c r="F44" t="s">
        <v>30</v>
      </c>
      <c r="G44" t="s">
        <v>31</v>
      </c>
      <c r="H44" t="s">
        <v>32</v>
      </c>
      <c r="I44">
        <f t="shared" si="4"/>
        <v>0</v>
      </c>
      <c r="J44">
        <f t="shared" si="5"/>
        <v>1</v>
      </c>
      <c r="K44">
        <f t="shared" si="6"/>
        <v>1</v>
      </c>
      <c r="L44">
        <f t="shared" si="7"/>
        <v>1</v>
      </c>
    </row>
    <row r="45" spans="1:12" x14ac:dyDescent="0.45">
      <c r="A45" t="s">
        <v>0</v>
      </c>
      <c r="B45" t="s">
        <v>1</v>
      </c>
      <c r="C45">
        <v>3</v>
      </c>
      <c r="D45" t="s">
        <v>33</v>
      </c>
      <c r="E45">
        <v>2</v>
      </c>
      <c r="F45" t="s">
        <v>31</v>
      </c>
      <c r="G45" t="s">
        <v>30</v>
      </c>
      <c r="H45" t="s">
        <v>32</v>
      </c>
      <c r="I45">
        <f t="shared" si="4"/>
        <v>0</v>
      </c>
      <c r="J45">
        <f t="shared" si="5"/>
        <v>0</v>
      </c>
      <c r="K45">
        <f t="shared" si="6"/>
        <v>0</v>
      </c>
      <c r="L45">
        <f t="shared" si="7"/>
        <v>1</v>
      </c>
    </row>
    <row r="46" spans="1:12" x14ac:dyDescent="0.45">
      <c r="A46" t="s">
        <v>9</v>
      </c>
      <c r="B46" t="s">
        <v>8</v>
      </c>
      <c r="C46">
        <v>2</v>
      </c>
      <c r="D46" t="s">
        <v>34</v>
      </c>
      <c r="E46">
        <v>2</v>
      </c>
      <c r="F46" t="s">
        <v>30</v>
      </c>
      <c r="G46" t="s">
        <v>30</v>
      </c>
      <c r="H46" t="s">
        <v>32</v>
      </c>
      <c r="I46">
        <f t="shared" si="4"/>
        <v>0</v>
      </c>
      <c r="J46">
        <f t="shared" si="5"/>
        <v>1</v>
      </c>
      <c r="K46">
        <f t="shared" si="6"/>
        <v>0</v>
      </c>
      <c r="L46">
        <f t="shared" si="7"/>
        <v>1</v>
      </c>
    </row>
    <row r="47" spans="1:12" x14ac:dyDescent="0.45">
      <c r="A47" t="s">
        <v>0</v>
      </c>
      <c r="B47" t="s">
        <v>1</v>
      </c>
      <c r="C47">
        <v>1</v>
      </c>
      <c r="D47" t="s">
        <v>33</v>
      </c>
      <c r="E47">
        <v>5</v>
      </c>
      <c r="F47" t="s">
        <v>30</v>
      </c>
      <c r="G47" t="s">
        <v>31</v>
      </c>
      <c r="H47" t="s">
        <v>32</v>
      </c>
      <c r="I47">
        <f t="shared" si="4"/>
        <v>0</v>
      </c>
      <c r="J47">
        <f t="shared" si="5"/>
        <v>1</v>
      </c>
      <c r="K47">
        <f t="shared" si="6"/>
        <v>1</v>
      </c>
      <c r="L47">
        <f t="shared" si="7"/>
        <v>1</v>
      </c>
    </row>
    <row r="48" spans="1:12" x14ac:dyDescent="0.45">
      <c r="A48" t="s">
        <v>35</v>
      </c>
      <c r="B48" t="s">
        <v>1</v>
      </c>
      <c r="C48">
        <v>1</v>
      </c>
      <c r="D48" t="s">
        <v>33</v>
      </c>
      <c r="E48">
        <v>5</v>
      </c>
      <c r="F48" t="s">
        <v>30</v>
      </c>
      <c r="G48" t="s">
        <v>31</v>
      </c>
      <c r="H48" t="s">
        <v>32</v>
      </c>
      <c r="I48">
        <f t="shared" si="4"/>
        <v>0</v>
      </c>
      <c r="J48">
        <f t="shared" si="5"/>
        <v>1</v>
      </c>
      <c r="K48">
        <f t="shared" si="6"/>
        <v>1</v>
      </c>
      <c r="L48">
        <f t="shared" si="7"/>
        <v>1</v>
      </c>
    </row>
    <row r="49" spans="1:12" x14ac:dyDescent="0.45">
      <c r="A49" t="s">
        <v>9</v>
      </c>
      <c r="B49" t="s">
        <v>1</v>
      </c>
      <c r="C49">
        <v>5</v>
      </c>
      <c r="D49" t="s">
        <v>11</v>
      </c>
      <c r="E49">
        <v>3</v>
      </c>
      <c r="F49" t="s">
        <v>30</v>
      </c>
      <c r="G49" t="s">
        <v>31</v>
      </c>
      <c r="H49" t="s">
        <v>32</v>
      </c>
      <c r="I49">
        <f t="shared" si="4"/>
        <v>0</v>
      </c>
      <c r="J49">
        <f t="shared" si="5"/>
        <v>1</v>
      </c>
      <c r="K49">
        <f t="shared" si="6"/>
        <v>1</v>
      </c>
      <c r="L49">
        <f t="shared" si="7"/>
        <v>1</v>
      </c>
    </row>
    <row r="50" spans="1:12" x14ac:dyDescent="0.45">
      <c r="A50" t="s">
        <v>9</v>
      </c>
      <c r="B50" t="s">
        <v>8</v>
      </c>
      <c r="C50">
        <v>2</v>
      </c>
      <c r="D50" t="s">
        <v>29</v>
      </c>
      <c r="E50">
        <v>4</v>
      </c>
      <c r="F50" t="s">
        <v>30</v>
      </c>
      <c r="G50" t="s">
        <v>31</v>
      </c>
      <c r="H50" t="s">
        <v>32</v>
      </c>
      <c r="I50">
        <f t="shared" si="4"/>
        <v>1</v>
      </c>
      <c r="J50">
        <f t="shared" si="5"/>
        <v>1</v>
      </c>
      <c r="K50">
        <f t="shared" si="6"/>
        <v>1</v>
      </c>
      <c r="L50">
        <f t="shared" si="7"/>
        <v>1</v>
      </c>
    </row>
    <row r="51" spans="1:12" x14ac:dyDescent="0.45">
      <c r="A51" t="s">
        <v>0</v>
      </c>
      <c r="B51" t="s">
        <v>8</v>
      </c>
      <c r="C51">
        <v>3</v>
      </c>
      <c r="D51" t="s">
        <v>33</v>
      </c>
      <c r="E51">
        <v>2</v>
      </c>
      <c r="F51" t="s">
        <v>30</v>
      </c>
      <c r="G51" t="s">
        <v>31</v>
      </c>
      <c r="H51" t="s">
        <v>32</v>
      </c>
      <c r="I51">
        <f t="shared" si="4"/>
        <v>0</v>
      </c>
      <c r="J51">
        <f t="shared" si="5"/>
        <v>1</v>
      </c>
      <c r="K51">
        <f t="shared" si="6"/>
        <v>1</v>
      </c>
      <c r="L51">
        <f t="shared" si="7"/>
        <v>1</v>
      </c>
    </row>
    <row r="52" spans="1:12" x14ac:dyDescent="0.45">
      <c r="A52" t="s">
        <v>0</v>
      </c>
      <c r="B52" t="s">
        <v>1</v>
      </c>
      <c r="C52">
        <v>3</v>
      </c>
      <c r="D52" t="s">
        <v>29</v>
      </c>
      <c r="E52">
        <v>5</v>
      </c>
      <c r="F52" t="s">
        <v>30</v>
      </c>
      <c r="G52" t="s">
        <v>31</v>
      </c>
      <c r="H52" t="s">
        <v>32</v>
      </c>
      <c r="I52">
        <f t="shared" si="4"/>
        <v>1</v>
      </c>
      <c r="J52">
        <f t="shared" si="5"/>
        <v>1</v>
      </c>
      <c r="K52">
        <f t="shared" si="6"/>
        <v>1</v>
      </c>
      <c r="L52">
        <f t="shared" si="7"/>
        <v>1</v>
      </c>
    </row>
    <row r="53" spans="1:12" x14ac:dyDescent="0.45">
      <c r="A53" t="s">
        <v>9</v>
      </c>
      <c r="B53" t="s">
        <v>1</v>
      </c>
      <c r="C53">
        <v>5</v>
      </c>
      <c r="D53" t="s">
        <v>29</v>
      </c>
      <c r="E53">
        <v>4</v>
      </c>
      <c r="F53" t="s">
        <v>30</v>
      </c>
      <c r="G53" t="s">
        <v>31</v>
      </c>
      <c r="H53" t="s">
        <v>32</v>
      </c>
      <c r="I53">
        <f t="shared" si="4"/>
        <v>1</v>
      </c>
      <c r="J53">
        <f t="shared" si="5"/>
        <v>1</v>
      </c>
      <c r="K53">
        <f t="shared" si="6"/>
        <v>1</v>
      </c>
      <c r="L53">
        <f t="shared" si="7"/>
        <v>1</v>
      </c>
    </row>
    <row r="54" spans="1:12" x14ac:dyDescent="0.45">
      <c r="A54" t="s">
        <v>7</v>
      </c>
      <c r="B54" t="s">
        <v>1</v>
      </c>
      <c r="C54">
        <v>4</v>
      </c>
      <c r="D54" t="s">
        <v>33</v>
      </c>
      <c r="E54">
        <v>5</v>
      </c>
      <c r="F54" t="s">
        <v>30</v>
      </c>
      <c r="G54" t="s">
        <v>31</v>
      </c>
      <c r="H54" t="s">
        <v>32</v>
      </c>
      <c r="I54">
        <f t="shared" si="4"/>
        <v>0</v>
      </c>
      <c r="J54">
        <f t="shared" si="5"/>
        <v>1</v>
      </c>
      <c r="K54">
        <f t="shared" si="6"/>
        <v>1</v>
      </c>
      <c r="L54">
        <f t="shared" si="7"/>
        <v>1</v>
      </c>
    </row>
    <row r="55" spans="1:12" x14ac:dyDescent="0.45">
      <c r="A55" t="s">
        <v>35</v>
      </c>
      <c r="B55" t="s">
        <v>8</v>
      </c>
      <c r="C55">
        <v>2</v>
      </c>
      <c r="D55" t="s">
        <v>33</v>
      </c>
      <c r="E55">
        <v>4</v>
      </c>
      <c r="F55" t="s">
        <v>31</v>
      </c>
      <c r="G55" t="s">
        <v>31</v>
      </c>
      <c r="H55" t="s">
        <v>32</v>
      </c>
      <c r="I55">
        <f t="shared" si="4"/>
        <v>0</v>
      </c>
      <c r="J55">
        <f t="shared" si="5"/>
        <v>0</v>
      </c>
      <c r="K55">
        <f t="shared" si="6"/>
        <v>1</v>
      </c>
      <c r="L55">
        <f t="shared" si="7"/>
        <v>1</v>
      </c>
    </row>
    <row r="56" spans="1:12" x14ac:dyDescent="0.45">
      <c r="A56" t="s">
        <v>35</v>
      </c>
      <c r="B56" t="s">
        <v>8</v>
      </c>
      <c r="C56">
        <v>5</v>
      </c>
      <c r="D56" t="s">
        <v>33</v>
      </c>
      <c r="E56">
        <v>4</v>
      </c>
      <c r="F56" t="s">
        <v>30</v>
      </c>
      <c r="G56" t="s">
        <v>31</v>
      </c>
      <c r="H56" t="s">
        <v>32</v>
      </c>
      <c r="I56">
        <f t="shared" si="4"/>
        <v>0</v>
      </c>
      <c r="J56">
        <f t="shared" si="5"/>
        <v>1</v>
      </c>
      <c r="K56">
        <f t="shared" si="6"/>
        <v>1</v>
      </c>
      <c r="L56">
        <f t="shared" si="7"/>
        <v>1</v>
      </c>
    </row>
    <row r="57" spans="1:12" x14ac:dyDescent="0.45">
      <c r="A57" t="s">
        <v>7</v>
      </c>
      <c r="B57" t="s">
        <v>8</v>
      </c>
      <c r="C57">
        <v>1</v>
      </c>
      <c r="D57" t="s">
        <v>33</v>
      </c>
      <c r="E57">
        <v>5</v>
      </c>
      <c r="F57" t="s">
        <v>31</v>
      </c>
      <c r="G57" t="s">
        <v>30</v>
      </c>
      <c r="H57" t="s">
        <v>32</v>
      </c>
      <c r="I57">
        <f t="shared" si="4"/>
        <v>0</v>
      </c>
      <c r="J57">
        <f t="shared" si="5"/>
        <v>0</v>
      </c>
      <c r="K57">
        <f t="shared" si="6"/>
        <v>0</v>
      </c>
      <c r="L57">
        <f t="shared" si="7"/>
        <v>1</v>
      </c>
    </row>
    <row r="58" spans="1:12" x14ac:dyDescent="0.45">
      <c r="A58" t="s">
        <v>7</v>
      </c>
      <c r="B58" t="s">
        <v>8</v>
      </c>
      <c r="C58">
        <v>1</v>
      </c>
      <c r="D58" t="s">
        <v>29</v>
      </c>
      <c r="E58">
        <v>5</v>
      </c>
      <c r="F58" t="s">
        <v>11</v>
      </c>
      <c r="G58" t="s">
        <v>31</v>
      </c>
      <c r="H58" t="s">
        <v>32</v>
      </c>
      <c r="I58">
        <f t="shared" si="4"/>
        <v>1</v>
      </c>
      <c r="J58">
        <f t="shared" si="5"/>
        <v>0</v>
      </c>
      <c r="K58">
        <f t="shared" si="6"/>
        <v>1</v>
      </c>
      <c r="L58">
        <f t="shared" si="7"/>
        <v>1</v>
      </c>
    </row>
    <row r="59" spans="1:12" x14ac:dyDescent="0.45">
      <c r="A59" t="s">
        <v>7</v>
      </c>
      <c r="B59" t="s">
        <v>8</v>
      </c>
      <c r="C59">
        <v>1</v>
      </c>
      <c r="D59" t="s">
        <v>33</v>
      </c>
      <c r="E59">
        <v>5</v>
      </c>
      <c r="F59" t="s">
        <v>11</v>
      </c>
      <c r="G59" t="s">
        <v>31</v>
      </c>
      <c r="H59" t="s">
        <v>32</v>
      </c>
      <c r="I59">
        <f t="shared" si="4"/>
        <v>0</v>
      </c>
      <c r="J59">
        <f t="shared" si="5"/>
        <v>0</v>
      </c>
      <c r="K59">
        <f t="shared" si="6"/>
        <v>1</v>
      </c>
      <c r="L59">
        <f t="shared" si="7"/>
        <v>1</v>
      </c>
    </row>
    <row r="60" spans="1:12" x14ac:dyDescent="0.45">
      <c r="A60" t="s">
        <v>7</v>
      </c>
      <c r="B60" t="s">
        <v>1</v>
      </c>
      <c r="C60">
        <v>1</v>
      </c>
      <c r="D60" t="s">
        <v>36</v>
      </c>
      <c r="E60">
        <v>5</v>
      </c>
      <c r="F60" t="s">
        <v>31</v>
      </c>
      <c r="G60" t="s">
        <v>30</v>
      </c>
      <c r="H60" t="s">
        <v>32</v>
      </c>
      <c r="I60">
        <f t="shared" si="4"/>
        <v>0</v>
      </c>
      <c r="J60">
        <f t="shared" si="5"/>
        <v>0</v>
      </c>
      <c r="K60">
        <f t="shared" si="6"/>
        <v>0</v>
      </c>
      <c r="L60">
        <f t="shared" si="7"/>
        <v>1</v>
      </c>
    </row>
    <row r="61" spans="1:12" x14ac:dyDescent="0.45">
      <c r="A61" t="s">
        <v>7</v>
      </c>
      <c r="B61" t="s">
        <v>1</v>
      </c>
      <c r="C61">
        <v>1</v>
      </c>
      <c r="D61" t="s">
        <v>29</v>
      </c>
      <c r="E61">
        <v>3</v>
      </c>
      <c r="F61" t="s">
        <v>31</v>
      </c>
      <c r="G61" t="s">
        <v>31</v>
      </c>
      <c r="H61" t="s">
        <v>32</v>
      </c>
      <c r="I61">
        <f t="shared" si="4"/>
        <v>1</v>
      </c>
      <c r="J61">
        <f t="shared" si="5"/>
        <v>0</v>
      </c>
      <c r="K61">
        <f t="shared" si="6"/>
        <v>1</v>
      </c>
      <c r="L61">
        <f t="shared" si="7"/>
        <v>1</v>
      </c>
    </row>
    <row r="62" spans="1:12" x14ac:dyDescent="0.45">
      <c r="A62" t="s">
        <v>7</v>
      </c>
      <c r="B62" t="s">
        <v>1</v>
      </c>
      <c r="C62">
        <v>2</v>
      </c>
      <c r="D62" t="s">
        <v>33</v>
      </c>
      <c r="E62">
        <v>3</v>
      </c>
      <c r="F62" t="s">
        <v>31</v>
      </c>
      <c r="G62" t="s">
        <v>31</v>
      </c>
      <c r="H62" t="s">
        <v>32</v>
      </c>
      <c r="I62">
        <f t="shared" si="4"/>
        <v>0</v>
      </c>
      <c r="J62">
        <f t="shared" si="5"/>
        <v>0</v>
      </c>
      <c r="K62">
        <f t="shared" si="6"/>
        <v>1</v>
      </c>
      <c r="L62">
        <f t="shared" si="7"/>
        <v>1</v>
      </c>
    </row>
    <row r="63" spans="1:12" x14ac:dyDescent="0.45">
      <c r="A63" t="s">
        <v>9</v>
      </c>
      <c r="B63" t="s">
        <v>8</v>
      </c>
      <c r="C63">
        <v>2</v>
      </c>
      <c r="D63" t="s">
        <v>29</v>
      </c>
      <c r="E63">
        <v>5</v>
      </c>
      <c r="F63" t="s">
        <v>30</v>
      </c>
      <c r="G63" t="s">
        <v>31</v>
      </c>
      <c r="H63" t="s">
        <v>32</v>
      </c>
      <c r="I63">
        <f t="shared" si="4"/>
        <v>1</v>
      </c>
      <c r="J63">
        <f t="shared" si="5"/>
        <v>1</v>
      </c>
      <c r="K63">
        <f t="shared" si="6"/>
        <v>1</v>
      </c>
      <c r="L63">
        <f t="shared" si="7"/>
        <v>1</v>
      </c>
    </row>
    <row r="64" spans="1:12" x14ac:dyDescent="0.45">
      <c r="A64" t="s">
        <v>9</v>
      </c>
      <c r="B64" t="s">
        <v>1</v>
      </c>
      <c r="C64">
        <v>1</v>
      </c>
      <c r="D64" t="s">
        <v>29</v>
      </c>
      <c r="E64">
        <v>4</v>
      </c>
      <c r="F64" t="s">
        <v>30</v>
      </c>
      <c r="G64" t="s">
        <v>31</v>
      </c>
      <c r="H64" t="s">
        <v>32</v>
      </c>
      <c r="I64">
        <f t="shared" si="4"/>
        <v>1</v>
      </c>
      <c r="J64">
        <f t="shared" si="5"/>
        <v>1</v>
      </c>
      <c r="K64">
        <f t="shared" si="6"/>
        <v>1</v>
      </c>
      <c r="L64">
        <f t="shared" si="7"/>
        <v>1</v>
      </c>
    </row>
    <row r="65" spans="1:12" x14ac:dyDescent="0.45">
      <c r="A65" t="s">
        <v>10</v>
      </c>
      <c r="B65" t="s">
        <v>1</v>
      </c>
      <c r="C65">
        <v>1</v>
      </c>
      <c r="D65" t="s">
        <v>33</v>
      </c>
      <c r="E65">
        <v>3</v>
      </c>
      <c r="F65" t="s">
        <v>31</v>
      </c>
      <c r="G65" t="s">
        <v>30</v>
      </c>
      <c r="H65" t="s">
        <v>32</v>
      </c>
      <c r="I65">
        <f t="shared" si="4"/>
        <v>0</v>
      </c>
      <c r="J65">
        <f t="shared" si="5"/>
        <v>0</v>
      </c>
      <c r="K65">
        <f t="shared" si="6"/>
        <v>0</v>
      </c>
      <c r="L65">
        <f t="shared" si="7"/>
        <v>1</v>
      </c>
    </row>
    <row r="66" spans="1:12" x14ac:dyDescent="0.45">
      <c r="A66" t="s">
        <v>7</v>
      </c>
      <c r="B66" t="s">
        <v>1</v>
      </c>
      <c r="C66">
        <v>2</v>
      </c>
      <c r="D66" t="s">
        <v>33</v>
      </c>
      <c r="E66">
        <v>5</v>
      </c>
      <c r="F66" t="s">
        <v>31</v>
      </c>
      <c r="G66" t="s">
        <v>31</v>
      </c>
      <c r="H66" t="s">
        <v>11</v>
      </c>
      <c r="I66">
        <f t="shared" si="4"/>
        <v>0</v>
      </c>
      <c r="J66">
        <f t="shared" si="5"/>
        <v>0</v>
      </c>
      <c r="K66">
        <f t="shared" si="6"/>
        <v>1</v>
      </c>
      <c r="L66">
        <f t="shared" si="7"/>
        <v>0</v>
      </c>
    </row>
    <row r="67" spans="1:12" x14ac:dyDescent="0.45">
      <c r="A67" t="s">
        <v>9</v>
      </c>
      <c r="B67" t="s">
        <v>1</v>
      </c>
      <c r="C67">
        <v>1</v>
      </c>
      <c r="D67" t="s">
        <v>33</v>
      </c>
      <c r="E67">
        <v>4</v>
      </c>
      <c r="F67" t="s">
        <v>30</v>
      </c>
      <c r="G67" t="s">
        <v>31</v>
      </c>
      <c r="H67" t="s">
        <v>32</v>
      </c>
      <c r="I67">
        <f t="shared" si="4"/>
        <v>0</v>
      </c>
      <c r="J67">
        <f t="shared" si="5"/>
        <v>1</v>
      </c>
      <c r="K67">
        <f t="shared" si="6"/>
        <v>1</v>
      </c>
      <c r="L67">
        <f t="shared" si="7"/>
        <v>1</v>
      </c>
    </row>
    <row r="68" spans="1:12" x14ac:dyDescent="0.45">
      <c r="A68" t="s">
        <v>9</v>
      </c>
      <c r="B68" t="s">
        <v>1</v>
      </c>
      <c r="C68">
        <v>3</v>
      </c>
      <c r="D68" t="s">
        <v>33</v>
      </c>
      <c r="E68">
        <v>3</v>
      </c>
      <c r="F68" t="s">
        <v>30</v>
      </c>
      <c r="G68" t="s">
        <v>31</v>
      </c>
      <c r="H68" t="s">
        <v>32</v>
      </c>
      <c r="I68">
        <f t="shared" si="4"/>
        <v>0</v>
      </c>
      <c r="J68">
        <f t="shared" si="5"/>
        <v>1</v>
      </c>
      <c r="K68">
        <f t="shared" si="6"/>
        <v>1</v>
      </c>
      <c r="L68">
        <f t="shared" si="7"/>
        <v>1</v>
      </c>
    </row>
    <row r="69" spans="1:12" x14ac:dyDescent="0.45">
      <c r="A69" t="s">
        <v>9</v>
      </c>
      <c r="B69" t="s">
        <v>1</v>
      </c>
      <c r="C69">
        <v>3</v>
      </c>
      <c r="D69" t="s">
        <v>33</v>
      </c>
      <c r="E69">
        <v>3</v>
      </c>
      <c r="F69" t="s">
        <v>30</v>
      </c>
      <c r="G69" t="s">
        <v>31</v>
      </c>
      <c r="H69" t="s">
        <v>32</v>
      </c>
      <c r="I69">
        <f t="shared" si="4"/>
        <v>0</v>
      </c>
      <c r="J69">
        <f t="shared" si="5"/>
        <v>1</v>
      </c>
      <c r="K69">
        <f t="shared" si="6"/>
        <v>1</v>
      </c>
      <c r="L69">
        <f t="shared" si="7"/>
        <v>1</v>
      </c>
    </row>
    <row r="70" spans="1:12" x14ac:dyDescent="0.45">
      <c r="A70" t="s">
        <v>9</v>
      </c>
      <c r="B70" t="s">
        <v>1</v>
      </c>
      <c r="C70">
        <v>3</v>
      </c>
      <c r="D70" t="s">
        <v>29</v>
      </c>
      <c r="E70">
        <v>4</v>
      </c>
      <c r="F70" t="s">
        <v>30</v>
      </c>
      <c r="G70" t="s">
        <v>31</v>
      </c>
      <c r="H70" t="s">
        <v>32</v>
      </c>
      <c r="I70">
        <f t="shared" si="4"/>
        <v>1</v>
      </c>
      <c r="J70">
        <f t="shared" si="5"/>
        <v>1</v>
      </c>
      <c r="K70">
        <f t="shared" si="6"/>
        <v>1</v>
      </c>
      <c r="L70">
        <f t="shared" si="7"/>
        <v>1</v>
      </c>
    </row>
    <row r="71" spans="1:12" x14ac:dyDescent="0.45">
      <c r="A71" t="s">
        <v>9</v>
      </c>
      <c r="B71" t="s">
        <v>8</v>
      </c>
      <c r="C71">
        <v>3</v>
      </c>
      <c r="D71" t="s">
        <v>33</v>
      </c>
      <c r="E71">
        <v>4</v>
      </c>
      <c r="F71" t="s">
        <v>37</v>
      </c>
      <c r="G71" t="s">
        <v>38</v>
      </c>
      <c r="H71" t="s">
        <v>11</v>
      </c>
      <c r="I71">
        <v>0</v>
      </c>
      <c r="J71">
        <v>0</v>
      </c>
      <c r="K71">
        <v>1</v>
      </c>
      <c r="L71">
        <v>0</v>
      </c>
    </row>
    <row r="72" spans="1:12" x14ac:dyDescent="0.45">
      <c r="A72" t="s">
        <v>0</v>
      </c>
      <c r="B72" t="s">
        <v>1</v>
      </c>
      <c r="C72">
        <v>2</v>
      </c>
      <c r="D72" t="s">
        <v>33</v>
      </c>
      <c r="E72">
        <v>4</v>
      </c>
      <c r="F72" t="s">
        <v>11</v>
      </c>
      <c r="G72" t="s">
        <v>38</v>
      </c>
      <c r="H72" t="s">
        <v>37</v>
      </c>
      <c r="I72">
        <v>0</v>
      </c>
      <c r="J72">
        <v>0</v>
      </c>
      <c r="K72">
        <v>1</v>
      </c>
      <c r="L72">
        <v>1</v>
      </c>
    </row>
    <row r="73" spans="1:12" x14ac:dyDescent="0.45">
      <c r="A73" t="s">
        <v>7</v>
      </c>
      <c r="B73" t="s">
        <v>1</v>
      </c>
      <c r="C73">
        <v>3</v>
      </c>
      <c r="D73" t="s">
        <v>39</v>
      </c>
      <c r="E73">
        <v>3</v>
      </c>
      <c r="F73" t="s">
        <v>38</v>
      </c>
      <c r="G73" t="s">
        <v>40</v>
      </c>
      <c r="H73" t="s">
        <v>37</v>
      </c>
      <c r="I73">
        <v>1</v>
      </c>
      <c r="J73">
        <v>0</v>
      </c>
      <c r="K73">
        <v>0</v>
      </c>
      <c r="L73">
        <v>1</v>
      </c>
    </row>
    <row r="74" spans="1:12" x14ac:dyDescent="0.45">
      <c r="A74" t="s">
        <v>7</v>
      </c>
      <c r="B74" t="s">
        <v>8</v>
      </c>
      <c r="C74">
        <v>4</v>
      </c>
      <c r="D74" t="s">
        <v>5</v>
      </c>
      <c r="E74">
        <v>5</v>
      </c>
      <c r="F74" t="s">
        <v>37</v>
      </c>
      <c r="G74" t="s">
        <v>40</v>
      </c>
      <c r="H74" t="s">
        <v>37</v>
      </c>
      <c r="I74">
        <v>0</v>
      </c>
      <c r="J74">
        <v>0</v>
      </c>
      <c r="K74">
        <v>0</v>
      </c>
      <c r="L74">
        <v>1</v>
      </c>
    </row>
    <row r="75" spans="1:12" x14ac:dyDescent="0.45">
      <c r="A75" t="s">
        <v>7</v>
      </c>
      <c r="B75" t="s">
        <v>8</v>
      </c>
      <c r="C75">
        <v>4</v>
      </c>
      <c r="D75" t="s">
        <v>33</v>
      </c>
      <c r="E75">
        <v>5</v>
      </c>
      <c r="F75" t="s">
        <v>37</v>
      </c>
      <c r="G75" t="s">
        <v>40</v>
      </c>
      <c r="H75" t="s">
        <v>37</v>
      </c>
      <c r="I75">
        <v>0</v>
      </c>
      <c r="J75">
        <v>0</v>
      </c>
      <c r="K75">
        <v>0</v>
      </c>
      <c r="L75">
        <v>1</v>
      </c>
    </row>
    <row r="76" spans="1:12" x14ac:dyDescent="0.45">
      <c r="A76" t="s">
        <v>0</v>
      </c>
      <c r="B76" t="s">
        <v>8</v>
      </c>
      <c r="C76">
        <v>4</v>
      </c>
      <c r="D76" t="s">
        <v>39</v>
      </c>
      <c r="E76">
        <v>5</v>
      </c>
      <c r="F76" t="s">
        <v>38</v>
      </c>
      <c r="G76" t="s">
        <v>40</v>
      </c>
      <c r="H76" t="s">
        <v>37</v>
      </c>
      <c r="I76">
        <v>1</v>
      </c>
      <c r="J76">
        <v>0</v>
      </c>
      <c r="K76">
        <v>0</v>
      </c>
      <c r="L76">
        <v>1</v>
      </c>
    </row>
    <row r="77" spans="1:12" x14ac:dyDescent="0.45">
      <c r="A77" t="s">
        <v>0</v>
      </c>
      <c r="B77" t="s">
        <v>8</v>
      </c>
      <c r="C77">
        <v>3</v>
      </c>
      <c r="D77" t="s">
        <v>2</v>
      </c>
      <c r="E77">
        <v>4</v>
      </c>
      <c r="F77" t="s">
        <v>37</v>
      </c>
      <c r="G77" t="s">
        <v>40</v>
      </c>
      <c r="H77" t="s">
        <v>37</v>
      </c>
      <c r="I77">
        <v>0</v>
      </c>
      <c r="J77">
        <v>0</v>
      </c>
      <c r="K77">
        <v>0</v>
      </c>
      <c r="L77">
        <v>1</v>
      </c>
    </row>
    <row r="78" spans="1:12" x14ac:dyDescent="0.45">
      <c r="A78" t="s">
        <v>0</v>
      </c>
      <c r="B78" t="s">
        <v>1</v>
      </c>
      <c r="C78">
        <v>4</v>
      </c>
      <c r="D78" t="s">
        <v>39</v>
      </c>
      <c r="E78">
        <v>2</v>
      </c>
      <c r="F78" t="s">
        <v>38</v>
      </c>
      <c r="G78" t="s">
        <v>40</v>
      </c>
      <c r="H78" t="s">
        <v>37</v>
      </c>
      <c r="I78">
        <v>1</v>
      </c>
      <c r="J78">
        <v>0</v>
      </c>
      <c r="K78">
        <v>0</v>
      </c>
      <c r="L78">
        <v>1</v>
      </c>
    </row>
    <row r="79" spans="1:12" x14ac:dyDescent="0.45">
      <c r="A79" t="s">
        <v>9</v>
      </c>
      <c r="B79" t="s">
        <v>1</v>
      </c>
      <c r="C79">
        <v>3</v>
      </c>
      <c r="D79" t="s">
        <v>39</v>
      </c>
      <c r="E79">
        <v>5</v>
      </c>
      <c r="F79" t="s">
        <v>38</v>
      </c>
      <c r="G79" t="s">
        <v>40</v>
      </c>
      <c r="H79" t="s">
        <v>37</v>
      </c>
      <c r="I79">
        <v>1</v>
      </c>
      <c r="J79">
        <v>0</v>
      </c>
      <c r="K79">
        <v>0</v>
      </c>
      <c r="L79">
        <v>1</v>
      </c>
    </row>
    <row r="80" spans="1:12" x14ac:dyDescent="0.45">
      <c r="A80" t="s">
        <v>9</v>
      </c>
      <c r="B80" t="s">
        <v>1</v>
      </c>
      <c r="C80">
        <v>2</v>
      </c>
      <c r="D80" t="s">
        <v>39</v>
      </c>
      <c r="E80">
        <v>2</v>
      </c>
      <c r="F80" t="s">
        <v>38</v>
      </c>
      <c r="G80" t="s">
        <v>40</v>
      </c>
      <c r="H80" t="s">
        <v>37</v>
      </c>
      <c r="I80">
        <v>1</v>
      </c>
      <c r="J80">
        <v>0</v>
      </c>
      <c r="K80">
        <v>0</v>
      </c>
      <c r="L80">
        <v>1</v>
      </c>
    </row>
    <row r="81" spans="1:12" x14ac:dyDescent="0.45">
      <c r="A81" t="s">
        <v>0</v>
      </c>
      <c r="B81" t="s">
        <v>1</v>
      </c>
      <c r="C81">
        <v>1</v>
      </c>
      <c r="D81" t="s">
        <v>33</v>
      </c>
      <c r="E81">
        <v>4</v>
      </c>
      <c r="F81" t="s">
        <v>37</v>
      </c>
      <c r="G81" t="s">
        <v>40</v>
      </c>
      <c r="H81" t="s">
        <v>37</v>
      </c>
      <c r="I81">
        <v>0</v>
      </c>
      <c r="J81">
        <v>0</v>
      </c>
      <c r="K81">
        <v>0</v>
      </c>
      <c r="L81">
        <v>1</v>
      </c>
    </row>
    <row r="82" spans="1:12" x14ac:dyDescent="0.45">
      <c r="A82" t="s">
        <v>0</v>
      </c>
      <c r="B82" t="s">
        <v>1</v>
      </c>
      <c r="C82">
        <v>4</v>
      </c>
      <c r="D82" t="s">
        <v>11</v>
      </c>
      <c r="E82">
        <v>3</v>
      </c>
      <c r="F82" t="s">
        <v>11</v>
      </c>
      <c r="G82" t="s">
        <v>38</v>
      </c>
      <c r="H82" t="s">
        <v>37</v>
      </c>
      <c r="I82">
        <v>0</v>
      </c>
      <c r="J82">
        <v>0</v>
      </c>
      <c r="K82">
        <v>1</v>
      </c>
      <c r="L82">
        <v>1</v>
      </c>
    </row>
    <row r="83" spans="1:12" x14ac:dyDescent="0.45">
      <c r="A83" t="s">
        <v>0</v>
      </c>
      <c r="B83" t="s">
        <v>1</v>
      </c>
      <c r="C83">
        <v>3</v>
      </c>
      <c r="D83" t="s">
        <v>2</v>
      </c>
      <c r="E83">
        <v>2</v>
      </c>
      <c r="F83" t="s">
        <v>40</v>
      </c>
      <c r="G83" t="s">
        <v>38</v>
      </c>
      <c r="H83" t="s">
        <v>37</v>
      </c>
      <c r="I83">
        <v>0</v>
      </c>
      <c r="J83">
        <v>1</v>
      </c>
      <c r="K83">
        <v>1</v>
      </c>
      <c r="L83">
        <v>1</v>
      </c>
    </row>
    <row r="84" spans="1:12" x14ac:dyDescent="0.45">
      <c r="A84" t="s">
        <v>0</v>
      </c>
      <c r="B84" t="s">
        <v>1</v>
      </c>
      <c r="C84">
        <v>2</v>
      </c>
      <c r="D84" t="s">
        <v>33</v>
      </c>
      <c r="E84">
        <v>4</v>
      </c>
      <c r="F84" t="s">
        <v>38</v>
      </c>
      <c r="G84" t="s">
        <v>40</v>
      </c>
      <c r="H84" t="s">
        <v>37</v>
      </c>
      <c r="I84">
        <v>0</v>
      </c>
      <c r="J84">
        <v>0</v>
      </c>
      <c r="K84">
        <v>0</v>
      </c>
      <c r="L84">
        <v>1</v>
      </c>
    </row>
    <row r="85" spans="1:12" x14ac:dyDescent="0.45">
      <c r="A85" t="s">
        <v>0</v>
      </c>
      <c r="B85" t="s">
        <v>1</v>
      </c>
      <c r="C85">
        <v>2</v>
      </c>
      <c r="D85" t="s">
        <v>33</v>
      </c>
      <c r="E85">
        <v>3</v>
      </c>
      <c r="F85" t="s">
        <v>40</v>
      </c>
      <c r="G85" t="s">
        <v>38</v>
      </c>
      <c r="H85" t="s">
        <v>37</v>
      </c>
      <c r="I85">
        <v>0</v>
      </c>
      <c r="J85">
        <v>1</v>
      </c>
      <c r="K85">
        <v>1</v>
      </c>
      <c r="L85">
        <v>1</v>
      </c>
    </row>
    <row r="86" spans="1:12" x14ac:dyDescent="0.45">
      <c r="A86" t="s">
        <v>9</v>
      </c>
      <c r="B86" t="s">
        <v>8</v>
      </c>
      <c r="C86">
        <v>2</v>
      </c>
      <c r="D86" t="s">
        <v>39</v>
      </c>
      <c r="E86">
        <v>4</v>
      </c>
      <c r="F86" t="s">
        <v>38</v>
      </c>
      <c r="G86" t="s">
        <v>40</v>
      </c>
      <c r="H86" t="s">
        <v>37</v>
      </c>
      <c r="I86">
        <v>1</v>
      </c>
      <c r="J86">
        <v>0</v>
      </c>
      <c r="K86">
        <v>0</v>
      </c>
      <c r="L86">
        <v>1</v>
      </c>
    </row>
    <row r="87" spans="1:12" x14ac:dyDescent="0.45">
      <c r="A87" t="s">
        <v>9</v>
      </c>
      <c r="B87" t="s">
        <v>8</v>
      </c>
      <c r="C87">
        <v>5</v>
      </c>
      <c r="D87" t="s">
        <v>2</v>
      </c>
      <c r="E87">
        <v>4</v>
      </c>
      <c r="F87" t="s">
        <v>38</v>
      </c>
      <c r="G87" t="s">
        <v>40</v>
      </c>
      <c r="H87" t="s">
        <v>37</v>
      </c>
      <c r="I87">
        <v>0</v>
      </c>
      <c r="J87">
        <v>0</v>
      </c>
      <c r="K87">
        <v>0</v>
      </c>
      <c r="L87">
        <v>1</v>
      </c>
    </row>
    <row r="88" spans="1:12" x14ac:dyDescent="0.45">
      <c r="A88" t="s">
        <v>0</v>
      </c>
      <c r="B88" t="s">
        <v>1</v>
      </c>
      <c r="C88">
        <v>1</v>
      </c>
      <c r="D88" t="s">
        <v>33</v>
      </c>
      <c r="E88">
        <v>4</v>
      </c>
      <c r="F88" t="s">
        <v>38</v>
      </c>
      <c r="G88" t="s">
        <v>40</v>
      </c>
      <c r="H88" t="s">
        <v>37</v>
      </c>
      <c r="I88">
        <v>0</v>
      </c>
      <c r="J88">
        <v>0</v>
      </c>
      <c r="K88">
        <v>0</v>
      </c>
      <c r="L88">
        <v>1</v>
      </c>
    </row>
    <row r="89" spans="1:12" x14ac:dyDescent="0.45">
      <c r="A89" t="s">
        <v>9</v>
      </c>
      <c r="B89" t="s">
        <v>8</v>
      </c>
      <c r="C89">
        <v>4</v>
      </c>
      <c r="D89" t="s">
        <v>5</v>
      </c>
      <c r="E89">
        <v>1</v>
      </c>
      <c r="F89" t="s">
        <v>40</v>
      </c>
      <c r="G89" t="s">
        <v>38</v>
      </c>
      <c r="H89" t="s">
        <v>37</v>
      </c>
      <c r="I89">
        <v>0</v>
      </c>
      <c r="J89">
        <v>1</v>
      </c>
      <c r="K89">
        <v>1</v>
      </c>
      <c r="L89">
        <v>1</v>
      </c>
    </row>
    <row r="90" spans="1:12" x14ac:dyDescent="0.45">
      <c r="A90" t="s">
        <v>9</v>
      </c>
      <c r="B90" t="s">
        <v>8</v>
      </c>
      <c r="C90">
        <v>3</v>
      </c>
      <c r="D90" t="s">
        <v>5</v>
      </c>
      <c r="E90">
        <v>2</v>
      </c>
      <c r="F90" t="s">
        <v>38</v>
      </c>
      <c r="G90" t="s">
        <v>40</v>
      </c>
      <c r="H90" t="s">
        <v>37</v>
      </c>
      <c r="I90">
        <v>0</v>
      </c>
      <c r="J90">
        <v>0</v>
      </c>
      <c r="K90">
        <v>0</v>
      </c>
      <c r="L90">
        <v>1</v>
      </c>
    </row>
    <row r="91" spans="1:12" x14ac:dyDescent="0.45">
      <c r="A91" t="s">
        <v>9</v>
      </c>
      <c r="B91" t="s">
        <v>1</v>
      </c>
      <c r="C91">
        <v>4</v>
      </c>
      <c r="D91" t="s">
        <v>2</v>
      </c>
      <c r="E91">
        <v>1</v>
      </c>
      <c r="F91" t="s">
        <v>37</v>
      </c>
      <c r="G91" t="s">
        <v>40</v>
      </c>
      <c r="H91" t="s">
        <v>38</v>
      </c>
      <c r="I91">
        <v>0</v>
      </c>
      <c r="J91">
        <v>0</v>
      </c>
      <c r="K91">
        <v>0</v>
      </c>
      <c r="L91">
        <v>0</v>
      </c>
    </row>
    <row r="92" spans="1:12" x14ac:dyDescent="0.45">
      <c r="A92" t="s">
        <v>9</v>
      </c>
      <c r="B92" t="s">
        <v>1</v>
      </c>
      <c r="C92">
        <v>5</v>
      </c>
      <c r="D92" t="s">
        <v>39</v>
      </c>
      <c r="E92">
        <v>5</v>
      </c>
      <c r="F92" t="s">
        <v>38</v>
      </c>
      <c r="G92" t="s">
        <v>40</v>
      </c>
      <c r="H92" t="s">
        <v>37</v>
      </c>
      <c r="I92">
        <v>1</v>
      </c>
      <c r="J92">
        <v>0</v>
      </c>
      <c r="K92">
        <v>0</v>
      </c>
      <c r="L92">
        <v>1</v>
      </c>
    </row>
    <row r="93" spans="1:12" x14ac:dyDescent="0.45">
      <c r="A93" t="s">
        <v>7</v>
      </c>
      <c r="B93" t="s">
        <v>8</v>
      </c>
      <c r="C93">
        <v>1</v>
      </c>
      <c r="D93" t="s">
        <v>33</v>
      </c>
      <c r="E93">
        <v>5</v>
      </c>
      <c r="F93" t="s">
        <v>40</v>
      </c>
      <c r="G93" t="s">
        <v>37</v>
      </c>
      <c r="H93" t="s">
        <v>37</v>
      </c>
      <c r="I93">
        <v>0</v>
      </c>
      <c r="J93">
        <v>1</v>
      </c>
      <c r="K93">
        <v>0</v>
      </c>
      <c r="L93">
        <v>1</v>
      </c>
    </row>
    <row r="94" spans="1:12" x14ac:dyDescent="0.45">
      <c r="A94" t="s">
        <v>9</v>
      </c>
      <c r="B94" t="s">
        <v>1</v>
      </c>
      <c r="C94">
        <v>3</v>
      </c>
      <c r="D94" t="s">
        <v>5</v>
      </c>
      <c r="E94">
        <v>2</v>
      </c>
      <c r="F94" t="s">
        <v>38</v>
      </c>
      <c r="G94" t="s">
        <v>37</v>
      </c>
      <c r="H94" t="s">
        <v>11</v>
      </c>
      <c r="I94">
        <v>0</v>
      </c>
      <c r="J94">
        <v>0</v>
      </c>
      <c r="K94">
        <v>0</v>
      </c>
      <c r="L94">
        <v>0</v>
      </c>
    </row>
    <row r="95" spans="1:12" x14ac:dyDescent="0.45">
      <c r="A95" t="s">
        <v>7</v>
      </c>
      <c r="B95" t="s">
        <v>1</v>
      </c>
      <c r="C95">
        <v>4</v>
      </c>
      <c r="D95" t="s">
        <v>33</v>
      </c>
      <c r="E95">
        <v>3</v>
      </c>
      <c r="F95" t="s">
        <v>38</v>
      </c>
      <c r="G95" t="s">
        <v>38</v>
      </c>
      <c r="H95" t="s">
        <v>37</v>
      </c>
      <c r="I95">
        <v>0</v>
      </c>
      <c r="J95">
        <v>0</v>
      </c>
      <c r="K95">
        <v>1</v>
      </c>
      <c r="L95">
        <v>1</v>
      </c>
    </row>
    <row r="96" spans="1:12" x14ac:dyDescent="0.45">
      <c r="A96" t="s">
        <v>35</v>
      </c>
      <c r="B96" t="s">
        <v>8</v>
      </c>
      <c r="C96">
        <v>2</v>
      </c>
      <c r="D96" t="s">
        <v>29</v>
      </c>
      <c r="E96">
        <v>3</v>
      </c>
      <c r="F96" t="s">
        <v>38</v>
      </c>
      <c r="G96" t="s">
        <v>40</v>
      </c>
      <c r="H96" t="s">
        <v>37</v>
      </c>
      <c r="I96">
        <v>0</v>
      </c>
      <c r="J96">
        <v>0</v>
      </c>
      <c r="K96">
        <v>0</v>
      </c>
      <c r="L96">
        <v>1</v>
      </c>
    </row>
    <row r="97" spans="1:12" x14ac:dyDescent="0.45">
      <c r="A97" t="s">
        <v>7</v>
      </c>
      <c r="B97" t="s">
        <v>8</v>
      </c>
      <c r="C97">
        <v>1</v>
      </c>
      <c r="D97" t="s">
        <v>33</v>
      </c>
      <c r="E97">
        <v>5</v>
      </c>
      <c r="F97" t="s">
        <v>38</v>
      </c>
      <c r="G97" t="s">
        <v>40</v>
      </c>
      <c r="H97" t="s">
        <v>37</v>
      </c>
      <c r="I97">
        <v>0</v>
      </c>
      <c r="J97">
        <v>0</v>
      </c>
      <c r="K97">
        <v>0</v>
      </c>
      <c r="L97">
        <v>1</v>
      </c>
    </row>
    <row r="98" spans="1:12" x14ac:dyDescent="0.45">
      <c r="A98" t="s">
        <v>7</v>
      </c>
      <c r="B98" t="s">
        <v>8</v>
      </c>
      <c r="C98">
        <v>2</v>
      </c>
      <c r="D98" t="s">
        <v>29</v>
      </c>
      <c r="E98">
        <v>3</v>
      </c>
      <c r="F98" t="s">
        <v>37</v>
      </c>
      <c r="G98" t="s">
        <v>38</v>
      </c>
      <c r="H98" t="s">
        <v>37</v>
      </c>
      <c r="I98">
        <v>0</v>
      </c>
      <c r="J98">
        <v>0</v>
      </c>
      <c r="K98">
        <v>1</v>
      </c>
      <c r="L98">
        <v>1</v>
      </c>
    </row>
    <row r="99" spans="1:12" x14ac:dyDescent="0.45">
      <c r="A99" t="s">
        <v>9</v>
      </c>
      <c r="B99" t="s">
        <v>8</v>
      </c>
      <c r="C99">
        <v>2</v>
      </c>
      <c r="D99" t="s">
        <v>39</v>
      </c>
      <c r="E99">
        <v>3</v>
      </c>
      <c r="F99" t="s">
        <v>11</v>
      </c>
      <c r="G99" t="s">
        <v>38</v>
      </c>
      <c r="H99" t="s">
        <v>37</v>
      </c>
      <c r="I99">
        <v>1</v>
      </c>
      <c r="J99">
        <v>0</v>
      </c>
      <c r="K99">
        <v>1</v>
      </c>
      <c r="L99">
        <v>1</v>
      </c>
    </row>
    <row r="100" spans="1:12" x14ac:dyDescent="0.45">
      <c r="A100" t="s">
        <v>10</v>
      </c>
      <c r="B100" t="s">
        <v>1</v>
      </c>
      <c r="C100">
        <v>1</v>
      </c>
      <c r="D100" t="s">
        <v>33</v>
      </c>
      <c r="E100">
        <v>5</v>
      </c>
      <c r="F100" t="s">
        <v>38</v>
      </c>
      <c r="G100" t="s">
        <v>40</v>
      </c>
      <c r="H100" t="s">
        <v>37</v>
      </c>
      <c r="I100">
        <v>0</v>
      </c>
      <c r="J100">
        <v>0</v>
      </c>
      <c r="K100">
        <v>0</v>
      </c>
      <c r="L100">
        <v>1</v>
      </c>
    </row>
    <row r="101" spans="1:12" x14ac:dyDescent="0.45">
      <c r="A101" t="s">
        <v>9</v>
      </c>
      <c r="B101" t="s">
        <v>1</v>
      </c>
      <c r="C101">
        <v>1</v>
      </c>
      <c r="D101" t="s">
        <v>39</v>
      </c>
      <c r="E101">
        <v>2</v>
      </c>
      <c r="F101" t="s">
        <v>38</v>
      </c>
      <c r="G101" t="s">
        <v>40</v>
      </c>
      <c r="H101" t="s">
        <v>37</v>
      </c>
      <c r="I101">
        <v>1</v>
      </c>
      <c r="J101">
        <v>0</v>
      </c>
      <c r="K101">
        <v>0</v>
      </c>
      <c r="L101">
        <v>1</v>
      </c>
    </row>
    <row r="102" spans="1:12" x14ac:dyDescent="0.45">
      <c r="A102" t="s">
        <v>9</v>
      </c>
      <c r="B102" t="s">
        <v>8</v>
      </c>
      <c r="C102">
        <v>2</v>
      </c>
      <c r="D102" t="s">
        <v>33</v>
      </c>
      <c r="E102">
        <v>4</v>
      </c>
      <c r="F102" t="s">
        <v>38</v>
      </c>
      <c r="G102" t="s">
        <v>40</v>
      </c>
      <c r="H102" t="s">
        <v>37</v>
      </c>
      <c r="I102">
        <v>0</v>
      </c>
      <c r="J102">
        <v>0</v>
      </c>
      <c r="K102">
        <v>0</v>
      </c>
      <c r="L102">
        <v>1</v>
      </c>
    </row>
    <row r="103" spans="1:12" x14ac:dyDescent="0.45">
      <c r="A103" t="s">
        <v>9</v>
      </c>
      <c r="B103" t="s">
        <v>8</v>
      </c>
      <c r="C103">
        <v>2</v>
      </c>
      <c r="D103" t="s">
        <v>5</v>
      </c>
      <c r="E103">
        <v>1</v>
      </c>
      <c r="F103" t="s">
        <v>38</v>
      </c>
      <c r="G103" t="s">
        <v>40</v>
      </c>
      <c r="H103" t="s">
        <v>37</v>
      </c>
      <c r="I103">
        <v>0</v>
      </c>
      <c r="J103">
        <v>0</v>
      </c>
      <c r="K103">
        <v>0</v>
      </c>
      <c r="L103">
        <v>1</v>
      </c>
    </row>
    <row r="104" spans="1:12" x14ac:dyDescent="0.45">
      <c r="A104" t="s">
        <v>9</v>
      </c>
      <c r="B104" t="s">
        <v>1</v>
      </c>
      <c r="C104">
        <v>1</v>
      </c>
      <c r="D104" t="s">
        <v>11</v>
      </c>
      <c r="E104">
        <v>1</v>
      </c>
      <c r="F104" t="s">
        <v>11</v>
      </c>
      <c r="G104" t="s">
        <v>38</v>
      </c>
      <c r="H104" t="s">
        <v>38</v>
      </c>
      <c r="I104">
        <v>0</v>
      </c>
      <c r="J104">
        <v>0</v>
      </c>
      <c r="K104">
        <v>1</v>
      </c>
      <c r="L104">
        <v>0</v>
      </c>
    </row>
    <row r="105" spans="1:12" x14ac:dyDescent="0.45">
      <c r="A105" t="s">
        <v>0</v>
      </c>
      <c r="B105" t="s">
        <v>1</v>
      </c>
      <c r="C105">
        <v>2</v>
      </c>
      <c r="D105" t="s">
        <v>2</v>
      </c>
      <c r="E105">
        <v>4</v>
      </c>
      <c r="F105" t="s">
        <v>41</v>
      </c>
      <c r="G105" t="s">
        <v>42</v>
      </c>
      <c r="H105" t="s">
        <v>43</v>
      </c>
      <c r="I105">
        <f>IF(D105="Fear",1,0)</f>
        <v>1</v>
      </c>
      <c r="J105">
        <f>IF(ISNUMBER(SEARCH("Level 3",F105)),1,0)</f>
        <v>0</v>
      </c>
      <c r="K105">
        <f>IF(ISNUMBER(SEARCH("Level 1",G105)),1,0)</f>
        <v>1</v>
      </c>
      <c r="L105">
        <f>IF(ISNUMBER(SEARCH("Level 2",H105)),1,0)</f>
        <v>0</v>
      </c>
    </row>
    <row r="106" spans="1:12" x14ac:dyDescent="0.45">
      <c r="A106" t="s">
        <v>9</v>
      </c>
      <c r="B106" t="s">
        <v>8</v>
      </c>
      <c r="C106">
        <v>4</v>
      </c>
      <c r="D106" t="s">
        <v>5</v>
      </c>
      <c r="E106">
        <v>4</v>
      </c>
      <c r="F106" t="s">
        <v>41</v>
      </c>
      <c r="G106" t="s">
        <v>42</v>
      </c>
      <c r="H106" t="s">
        <v>43</v>
      </c>
      <c r="I106">
        <f t="shared" ref="I106:I134" si="8">IF(D106="Fear",1,0)</f>
        <v>0</v>
      </c>
      <c r="J106">
        <f t="shared" ref="J106:J134" si="9">IF(ISNUMBER(SEARCH("Level 3",F106)),1,0)</f>
        <v>0</v>
      </c>
      <c r="K106">
        <f t="shared" ref="K106:K134" si="10">IF(ISNUMBER(SEARCH("Level 1",G106)),1,0)</f>
        <v>1</v>
      </c>
      <c r="L106">
        <f t="shared" ref="L106:L134" si="11">IF(ISNUMBER(SEARCH("Level 2",H106)),1,0)</f>
        <v>0</v>
      </c>
    </row>
    <row r="107" spans="1:12" x14ac:dyDescent="0.45">
      <c r="A107" t="s">
        <v>0</v>
      </c>
      <c r="B107" t="s">
        <v>1</v>
      </c>
      <c r="C107">
        <v>1</v>
      </c>
      <c r="D107" t="s">
        <v>29</v>
      </c>
      <c r="E107">
        <v>3</v>
      </c>
      <c r="F107" t="s">
        <v>41</v>
      </c>
      <c r="G107" t="s">
        <v>41</v>
      </c>
      <c r="H107" t="s">
        <v>41</v>
      </c>
      <c r="I107">
        <f t="shared" si="8"/>
        <v>0</v>
      </c>
      <c r="J107">
        <f t="shared" si="9"/>
        <v>0</v>
      </c>
      <c r="K107">
        <f t="shared" si="10"/>
        <v>0</v>
      </c>
      <c r="L107">
        <f t="shared" si="11"/>
        <v>1</v>
      </c>
    </row>
    <row r="108" spans="1:12" x14ac:dyDescent="0.45">
      <c r="A108" t="s">
        <v>0</v>
      </c>
      <c r="B108" t="s">
        <v>1</v>
      </c>
      <c r="C108">
        <v>5</v>
      </c>
      <c r="D108" t="s">
        <v>11</v>
      </c>
      <c r="E108">
        <v>2</v>
      </c>
      <c r="F108" t="s">
        <v>41</v>
      </c>
      <c r="G108" t="s">
        <v>42</v>
      </c>
      <c r="H108" t="s">
        <v>42</v>
      </c>
      <c r="I108">
        <f t="shared" si="8"/>
        <v>0</v>
      </c>
      <c r="J108">
        <f t="shared" si="9"/>
        <v>0</v>
      </c>
      <c r="K108">
        <f t="shared" si="10"/>
        <v>1</v>
      </c>
      <c r="L108">
        <f t="shared" si="11"/>
        <v>0</v>
      </c>
    </row>
    <row r="109" spans="1:12" x14ac:dyDescent="0.45">
      <c r="A109" t="s">
        <v>0</v>
      </c>
      <c r="B109" t="s">
        <v>8</v>
      </c>
      <c r="C109">
        <v>4</v>
      </c>
      <c r="D109" t="s">
        <v>2</v>
      </c>
      <c r="E109">
        <v>5</v>
      </c>
      <c r="F109" t="s">
        <v>43</v>
      </c>
      <c r="G109" t="s">
        <v>42</v>
      </c>
      <c r="H109" t="s">
        <v>41</v>
      </c>
      <c r="I109">
        <f t="shared" si="8"/>
        <v>1</v>
      </c>
      <c r="J109">
        <f t="shared" si="9"/>
        <v>1</v>
      </c>
      <c r="K109">
        <f t="shared" si="10"/>
        <v>1</v>
      </c>
      <c r="L109">
        <f t="shared" si="11"/>
        <v>1</v>
      </c>
    </row>
    <row r="110" spans="1:12" x14ac:dyDescent="0.45">
      <c r="A110" t="s">
        <v>0</v>
      </c>
      <c r="B110" t="s">
        <v>1</v>
      </c>
      <c r="C110">
        <v>2</v>
      </c>
      <c r="D110" t="s">
        <v>2</v>
      </c>
      <c r="E110">
        <v>3</v>
      </c>
      <c r="F110" t="s">
        <v>43</v>
      </c>
      <c r="G110" t="s">
        <v>42</v>
      </c>
      <c r="H110" t="s">
        <v>41</v>
      </c>
      <c r="I110">
        <f t="shared" si="8"/>
        <v>1</v>
      </c>
      <c r="J110">
        <f t="shared" si="9"/>
        <v>1</v>
      </c>
      <c r="K110">
        <f t="shared" si="10"/>
        <v>1</v>
      </c>
      <c r="L110">
        <f t="shared" si="11"/>
        <v>1</v>
      </c>
    </row>
    <row r="111" spans="1:12" x14ac:dyDescent="0.45">
      <c r="A111" t="s">
        <v>9</v>
      </c>
      <c r="B111" t="s">
        <v>1</v>
      </c>
      <c r="C111">
        <v>4</v>
      </c>
      <c r="D111" t="s">
        <v>2</v>
      </c>
      <c r="E111">
        <v>4</v>
      </c>
      <c r="F111" t="s">
        <v>43</v>
      </c>
      <c r="G111" t="s">
        <v>42</v>
      </c>
      <c r="H111" t="s">
        <v>41</v>
      </c>
      <c r="I111">
        <f t="shared" si="8"/>
        <v>1</v>
      </c>
      <c r="J111">
        <f t="shared" si="9"/>
        <v>1</v>
      </c>
      <c r="K111">
        <f t="shared" si="10"/>
        <v>1</v>
      </c>
      <c r="L111">
        <f t="shared" si="11"/>
        <v>1</v>
      </c>
    </row>
    <row r="112" spans="1:12" x14ac:dyDescent="0.45">
      <c r="A112" t="s">
        <v>7</v>
      </c>
      <c r="B112" t="s">
        <v>1</v>
      </c>
      <c r="C112">
        <v>4</v>
      </c>
      <c r="D112" t="s">
        <v>2</v>
      </c>
      <c r="E112">
        <v>5</v>
      </c>
      <c r="F112" t="s">
        <v>43</v>
      </c>
      <c r="G112" t="s">
        <v>42</v>
      </c>
      <c r="H112" t="s">
        <v>41</v>
      </c>
      <c r="I112">
        <f t="shared" si="8"/>
        <v>1</v>
      </c>
      <c r="J112">
        <f t="shared" si="9"/>
        <v>1</v>
      </c>
      <c r="K112">
        <f t="shared" si="10"/>
        <v>1</v>
      </c>
      <c r="L112">
        <f t="shared" si="11"/>
        <v>1</v>
      </c>
    </row>
    <row r="113" spans="1:12" x14ac:dyDescent="0.45">
      <c r="A113" t="s">
        <v>0</v>
      </c>
      <c r="B113" t="s">
        <v>1</v>
      </c>
      <c r="C113">
        <v>3</v>
      </c>
      <c r="D113" t="s">
        <v>2</v>
      </c>
      <c r="E113">
        <v>5</v>
      </c>
      <c r="F113" t="s">
        <v>43</v>
      </c>
      <c r="G113" t="s">
        <v>41</v>
      </c>
      <c r="H113" t="s">
        <v>11</v>
      </c>
      <c r="I113">
        <f t="shared" si="8"/>
        <v>1</v>
      </c>
      <c r="J113">
        <f t="shared" si="9"/>
        <v>1</v>
      </c>
      <c r="K113">
        <f t="shared" si="10"/>
        <v>0</v>
      </c>
      <c r="L113">
        <f t="shared" si="11"/>
        <v>0</v>
      </c>
    </row>
    <row r="114" spans="1:12" x14ac:dyDescent="0.45">
      <c r="A114" t="s">
        <v>9</v>
      </c>
      <c r="B114" t="s">
        <v>1</v>
      </c>
      <c r="C114">
        <v>3</v>
      </c>
      <c r="D114" t="s">
        <v>2</v>
      </c>
      <c r="E114">
        <v>5</v>
      </c>
      <c r="F114" t="s">
        <v>43</v>
      </c>
      <c r="G114" t="s">
        <v>42</v>
      </c>
      <c r="H114" t="s">
        <v>41</v>
      </c>
      <c r="I114">
        <f t="shared" si="8"/>
        <v>1</v>
      </c>
      <c r="J114">
        <f t="shared" si="9"/>
        <v>1</v>
      </c>
      <c r="K114">
        <f t="shared" si="10"/>
        <v>1</v>
      </c>
      <c r="L114">
        <f t="shared" si="11"/>
        <v>1</v>
      </c>
    </row>
    <row r="115" spans="1:12" x14ac:dyDescent="0.45">
      <c r="A115" t="s">
        <v>0</v>
      </c>
      <c r="B115" t="s">
        <v>1</v>
      </c>
      <c r="C115">
        <v>2</v>
      </c>
      <c r="D115" t="s">
        <v>2</v>
      </c>
      <c r="E115">
        <v>2</v>
      </c>
      <c r="F115" t="s">
        <v>43</v>
      </c>
      <c r="G115" t="s">
        <v>42</v>
      </c>
      <c r="H115" t="s">
        <v>41</v>
      </c>
      <c r="I115">
        <f t="shared" si="8"/>
        <v>1</v>
      </c>
      <c r="J115">
        <f t="shared" si="9"/>
        <v>1</v>
      </c>
      <c r="K115">
        <f t="shared" si="10"/>
        <v>1</v>
      </c>
      <c r="L115">
        <f t="shared" si="11"/>
        <v>1</v>
      </c>
    </row>
    <row r="116" spans="1:12" x14ac:dyDescent="0.45">
      <c r="A116" t="s">
        <v>0</v>
      </c>
      <c r="B116" t="s">
        <v>8</v>
      </c>
      <c r="C116">
        <v>3</v>
      </c>
      <c r="D116" t="s">
        <v>2</v>
      </c>
      <c r="E116">
        <v>4</v>
      </c>
      <c r="F116" t="s">
        <v>41</v>
      </c>
      <c r="G116" t="s">
        <v>42</v>
      </c>
      <c r="H116" t="s">
        <v>43</v>
      </c>
      <c r="I116">
        <f t="shared" si="8"/>
        <v>1</v>
      </c>
      <c r="J116">
        <f t="shared" si="9"/>
        <v>0</v>
      </c>
      <c r="K116">
        <f t="shared" si="10"/>
        <v>1</v>
      </c>
      <c r="L116">
        <f t="shared" si="11"/>
        <v>0</v>
      </c>
    </row>
    <row r="117" spans="1:12" x14ac:dyDescent="0.45">
      <c r="A117" t="s">
        <v>9</v>
      </c>
      <c r="B117" t="s">
        <v>8</v>
      </c>
      <c r="C117">
        <v>3</v>
      </c>
      <c r="D117" t="s">
        <v>5</v>
      </c>
      <c r="E117">
        <v>4</v>
      </c>
      <c r="F117" t="s">
        <v>43</v>
      </c>
      <c r="G117" t="s">
        <v>42</v>
      </c>
      <c r="H117" t="s">
        <v>41</v>
      </c>
      <c r="I117">
        <f t="shared" si="8"/>
        <v>0</v>
      </c>
      <c r="J117">
        <f t="shared" si="9"/>
        <v>1</v>
      </c>
      <c r="K117">
        <f t="shared" si="10"/>
        <v>1</v>
      </c>
      <c r="L117">
        <f t="shared" si="11"/>
        <v>1</v>
      </c>
    </row>
    <row r="118" spans="1:12" x14ac:dyDescent="0.45">
      <c r="A118" t="s">
        <v>9</v>
      </c>
      <c r="B118" t="s">
        <v>8</v>
      </c>
      <c r="C118">
        <v>4</v>
      </c>
      <c r="D118" t="s">
        <v>2</v>
      </c>
      <c r="E118">
        <v>5</v>
      </c>
      <c r="F118" t="s">
        <v>41</v>
      </c>
      <c r="G118" t="s">
        <v>42</v>
      </c>
      <c r="H118" t="s">
        <v>43</v>
      </c>
      <c r="I118">
        <f t="shared" si="8"/>
        <v>1</v>
      </c>
      <c r="J118">
        <f t="shared" si="9"/>
        <v>0</v>
      </c>
      <c r="K118">
        <f t="shared" si="10"/>
        <v>1</v>
      </c>
      <c r="L118">
        <f t="shared" si="11"/>
        <v>0</v>
      </c>
    </row>
    <row r="119" spans="1:12" x14ac:dyDescent="0.45">
      <c r="A119" t="s">
        <v>9</v>
      </c>
      <c r="B119" t="s">
        <v>8</v>
      </c>
      <c r="C119">
        <v>2</v>
      </c>
      <c r="D119" t="s">
        <v>2</v>
      </c>
      <c r="E119">
        <v>4</v>
      </c>
      <c r="F119" t="s">
        <v>43</v>
      </c>
      <c r="G119" t="s">
        <v>42</v>
      </c>
      <c r="H119" t="s">
        <v>41</v>
      </c>
      <c r="I119">
        <f t="shared" si="8"/>
        <v>1</v>
      </c>
      <c r="J119">
        <f t="shared" si="9"/>
        <v>1</v>
      </c>
      <c r="K119">
        <f t="shared" si="10"/>
        <v>1</v>
      </c>
      <c r="L119">
        <f t="shared" si="11"/>
        <v>1</v>
      </c>
    </row>
    <row r="120" spans="1:12" x14ac:dyDescent="0.45">
      <c r="A120" t="s">
        <v>0</v>
      </c>
      <c r="B120" t="s">
        <v>8</v>
      </c>
      <c r="C120">
        <v>3</v>
      </c>
      <c r="D120" t="s">
        <v>34</v>
      </c>
      <c r="E120">
        <v>4</v>
      </c>
      <c r="F120" t="s">
        <v>43</v>
      </c>
      <c r="G120" t="s">
        <v>42</v>
      </c>
      <c r="H120" t="s">
        <v>41</v>
      </c>
      <c r="I120">
        <f t="shared" si="8"/>
        <v>0</v>
      </c>
      <c r="J120">
        <f t="shared" si="9"/>
        <v>1</v>
      </c>
      <c r="K120">
        <f t="shared" si="10"/>
        <v>1</v>
      </c>
      <c r="L120">
        <f t="shared" si="11"/>
        <v>1</v>
      </c>
    </row>
    <row r="121" spans="1:12" x14ac:dyDescent="0.45">
      <c r="A121" t="s">
        <v>9</v>
      </c>
      <c r="B121" t="s">
        <v>8</v>
      </c>
      <c r="C121">
        <v>5</v>
      </c>
      <c r="D121" t="s">
        <v>2</v>
      </c>
      <c r="E121">
        <v>5</v>
      </c>
      <c r="F121" t="s">
        <v>41</v>
      </c>
      <c r="G121" t="s">
        <v>42</v>
      </c>
      <c r="H121" t="s">
        <v>43</v>
      </c>
      <c r="I121">
        <f t="shared" si="8"/>
        <v>1</v>
      </c>
      <c r="J121">
        <f t="shared" si="9"/>
        <v>0</v>
      </c>
      <c r="K121">
        <f t="shared" si="10"/>
        <v>1</v>
      </c>
      <c r="L121">
        <f t="shared" si="11"/>
        <v>0</v>
      </c>
    </row>
    <row r="122" spans="1:12" x14ac:dyDescent="0.45">
      <c r="A122" t="s">
        <v>9</v>
      </c>
      <c r="B122" t="s">
        <v>1</v>
      </c>
      <c r="C122">
        <v>3</v>
      </c>
      <c r="D122" t="s">
        <v>2</v>
      </c>
      <c r="E122">
        <v>3</v>
      </c>
      <c r="F122" t="s">
        <v>43</v>
      </c>
      <c r="G122" t="s">
        <v>41</v>
      </c>
      <c r="H122" t="s">
        <v>11</v>
      </c>
      <c r="I122">
        <f t="shared" si="8"/>
        <v>1</v>
      </c>
      <c r="J122">
        <f t="shared" si="9"/>
        <v>1</v>
      </c>
      <c r="K122">
        <f t="shared" si="10"/>
        <v>0</v>
      </c>
      <c r="L122">
        <f t="shared" si="11"/>
        <v>0</v>
      </c>
    </row>
    <row r="123" spans="1:12" x14ac:dyDescent="0.45">
      <c r="A123" t="s">
        <v>9</v>
      </c>
      <c r="B123" t="s">
        <v>1</v>
      </c>
      <c r="C123">
        <v>5</v>
      </c>
      <c r="D123" t="s">
        <v>2</v>
      </c>
      <c r="E123">
        <v>5</v>
      </c>
      <c r="F123" t="s">
        <v>43</v>
      </c>
      <c r="G123" t="s">
        <v>42</v>
      </c>
      <c r="H123" t="s">
        <v>41</v>
      </c>
      <c r="I123">
        <f t="shared" si="8"/>
        <v>1</v>
      </c>
      <c r="J123">
        <f t="shared" si="9"/>
        <v>1</v>
      </c>
      <c r="K123">
        <f t="shared" si="10"/>
        <v>1</v>
      </c>
      <c r="L123">
        <f t="shared" si="11"/>
        <v>1</v>
      </c>
    </row>
    <row r="124" spans="1:12" x14ac:dyDescent="0.45">
      <c r="A124" t="s">
        <v>7</v>
      </c>
      <c r="B124" t="s">
        <v>1</v>
      </c>
      <c r="C124">
        <v>1</v>
      </c>
      <c r="D124" t="s">
        <v>11</v>
      </c>
      <c r="E124">
        <v>1</v>
      </c>
      <c r="F124" t="s">
        <v>41</v>
      </c>
      <c r="G124" t="s">
        <v>42</v>
      </c>
      <c r="H124" t="s">
        <v>41</v>
      </c>
      <c r="I124">
        <f t="shared" si="8"/>
        <v>0</v>
      </c>
      <c r="J124">
        <f t="shared" si="9"/>
        <v>0</v>
      </c>
      <c r="K124">
        <f t="shared" si="10"/>
        <v>1</v>
      </c>
      <c r="L124">
        <f t="shared" si="11"/>
        <v>1</v>
      </c>
    </row>
    <row r="125" spans="1:12" x14ac:dyDescent="0.45">
      <c r="A125" t="s">
        <v>7</v>
      </c>
      <c r="B125" t="s">
        <v>1</v>
      </c>
      <c r="C125">
        <v>1</v>
      </c>
      <c r="D125" t="s">
        <v>2</v>
      </c>
      <c r="E125">
        <v>5</v>
      </c>
      <c r="F125" t="s">
        <v>41</v>
      </c>
      <c r="G125" t="s">
        <v>42</v>
      </c>
      <c r="H125" t="s">
        <v>41</v>
      </c>
      <c r="I125">
        <f t="shared" si="8"/>
        <v>1</v>
      </c>
      <c r="J125">
        <f t="shared" si="9"/>
        <v>0</v>
      </c>
      <c r="K125">
        <f t="shared" si="10"/>
        <v>1</v>
      </c>
      <c r="L125">
        <f t="shared" si="11"/>
        <v>1</v>
      </c>
    </row>
    <row r="126" spans="1:12" x14ac:dyDescent="0.45">
      <c r="A126" t="s">
        <v>7</v>
      </c>
      <c r="B126" t="s">
        <v>8</v>
      </c>
      <c r="C126">
        <v>1</v>
      </c>
      <c r="D126" t="s">
        <v>2</v>
      </c>
      <c r="E126">
        <v>5</v>
      </c>
      <c r="F126" t="s">
        <v>41</v>
      </c>
      <c r="G126" t="s">
        <v>41</v>
      </c>
      <c r="H126" t="s">
        <v>43</v>
      </c>
      <c r="I126">
        <f t="shared" si="8"/>
        <v>1</v>
      </c>
      <c r="J126">
        <f t="shared" si="9"/>
        <v>0</v>
      </c>
      <c r="K126">
        <f t="shared" si="10"/>
        <v>0</v>
      </c>
      <c r="L126">
        <f t="shared" si="11"/>
        <v>0</v>
      </c>
    </row>
    <row r="127" spans="1:12" x14ac:dyDescent="0.45">
      <c r="A127" t="s">
        <v>9</v>
      </c>
      <c r="B127" t="s">
        <v>8</v>
      </c>
      <c r="C127">
        <v>2</v>
      </c>
      <c r="D127" t="s">
        <v>2</v>
      </c>
      <c r="E127">
        <v>5</v>
      </c>
      <c r="F127" t="s">
        <v>41</v>
      </c>
      <c r="G127" t="s">
        <v>42</v>
      </c>
      <c r="H127" t="s">
        <v>41</v>
      </c>
      <c r="I127">
        <f t="shared" si="8"/>
        <v>1</v>
      </c>
      <c r="J127">
        <f t="shared" si="9"/>
        <v>0</v>
      </c>
      <c r="K127">
        <f t="shared" si="10"/>
        <v>1</v>
      </c>
      <c r="L127">
        <f t="shared" si="11"/>
        <v>1</v>
      </c>
    </row>
    <row r="128" spans="1:12" x14ac:dyDescent="0.45">
      <c r="A128" t="s">
        <v>0</v>
      </c>
      <c r="B128" t="s">
        <v>8</v>
      </c>
      <c r="C128">
        <v>1</v>
      </c>
      <c r="D128" t="s">
        <v>5</v>
      </c>
      <c r="E128">
        <v>2</v>
      </c>
      <c r="F128" t="s">
        <v>41</v>
      </c>
      <c r="G128" t="s">
        <v>42</v>
      </c>
      <c r="H128" t="s">
        <v>43</v>
      </c>
      <c r="I128">
        <f t="shared" si="8"/>
        <v>0</v>
      </c>
      <c r="J128">
        <f t="shared" si="9"/>
        <v>0</v>
      </c>
      <c r="K128">
        <f t="shared" si="10"/>
        <v>1</v>
      </c>
      <c r="L128">
        <f t="shared" si="11"/>
        <v>0</v>
      </c>
    </row>
    <row r="129" spans="1:12" x14ac:dyDescent="0.45">
      <c r="A129" t="s">
        <v>9</v>
      </c>
      <c r="B129" t="s">
        <v>8</v>
      </c>
      <c r="C129">
        <v>2</v>
      </c>
      <c r="D129" t="s">
        <v>5</v>
      </c>
      <c r="E129">
        <v>3</v>
      </c>
      <c r="F129" t="s">
        <v>41</v>
      </c>
      <c r="G129" t="s">
        <v>42</v>
      </c>
      <c r="H129" t="s">
        <v>43</v>
      </c>
      <c r="I129">
        <f t="shared" si="8"/>
        <v>0</v>
      </c>
      <c r="J129">
        <f t="shared" si="9"/>
        <v>0</v>
      </c>
      <c r="K129">
        <f t="shared" si="10"/>
        <v>1</v>
      </c>
      <c r="L129">
        <f t="shared" si="11"/>
        <v>0</v>
      </c>
    </row>
    <row r="130" spans="1:12" x14ac:dyDescent="0.45">
      <c r="A130" t="s">
        <v>9</v>
      </c>
      <c r="B130" t="s">
        <v>8</v>
      </c>
      <c r="C130">
        <v>1</v>
      </c>
      <c r="D130" t="s">
        <v>2</v>
      </c>
      <c r="E130">
        <v>5</v>
      </c>
      <c r="F130" t="s">
        <v>43</v>
      </c>
      <c r="G130" t="s">
        <v>42</v>
      </c>
      <c r="H130" t="s">
        <v>41</v>
      </c>
      <c r="I130">
        <f t="shared" si="8"/>
        <v>1</v>
      </c>
      <c r="J130">
        <f t="shared" si="9"/>
        <v>1</v>
      </c>
      <c r="K130">
        <f t="shared" si="10"/>
        <v>1</v>
      </c>
      <c r="L130">
        <f t="shared" si="11"/>
        <v>1</v>
      </c>
    </row>
    <row r="131" spans="1:12" x14ac:dyDescent="0.45">
      <c r="A131" t="s">
        <v>9</v>
      </c>
      <c r="B131" t="s">
        <v>1</v>
      </c>
      <c r="C131">
        <v>1</v>
      </c>
      <c r="D131" t="s">
        <v>11</v>
      </c>
      <c r="E131">
        <v>1</v>
      </c>
      <c r="F131" t="s">
        <v>43</v>
      </c>
      <c r="G131" t="s">
        <v>42</v>
      </c>
      <c r="H131" t="s">
        <v>41</v>
      </c>
      <c r="I131">
        <f t="shared" si="8"/>
        <v>0</v>
      </c>
      <c r="J131">
        <f t="shared" si="9"/>
        <v>1</v>
      </c>
      <c r="K131">
        <f t="shared" si="10"/>
        <v>1</v>
      </c>
      <c r="L131">
        <f t="shared" si="11"/>
        <v>1</v>
      </c>
    </row>
    <row r="132" spans="1:12" x14ac:dyDescent="0.45">
      <c r="A132" t="s">
        <v>9</v>
      </c>
      <c r="B132" t="s">
        <v>1</v>
      </c>
      <c r="C132">
        <v>3</v>
      </c>
      <c r="D132" t="s">
        <v>2</v>
      </c>
      <c r="E132">
        <v>5</v>
      </c>
      <c r="F132" t="s">
        <v>43</v>
      </c>
      <c r="G132" t="s">
        <v>42</v>
      </c>
      <c r="H132" t="s">
        <v>41</v>
      </c>
      <c r="I132">
        <f t="shared" si="8"/>
        <v>1</v>
      </c>
      <c r="J132">
        <f t="shared" si="9"/>
        <v>1</v>
      </c>
      <c r="K132">
        <f t="shared" si="10"/>
        <v>1</v>
      </c>
      <c r="L132">
        <f t="shared" si="11"/>
        <v>1</v>
      </c>
    </row>
    <row r="133" spans="1:12" x14ac:dyDescent="0.45">
      <c r="A133" t="s">
        <v>0</v>
      </c>
      <c r="B133" t="s">
        <v>8</v>
      </c>
      <c r="C133">
        <v>2</v>
      </c>
      <c r="D133" t="s">
        <v>5</v>
      </c>
      <c r="E133">
        <v>4</v>
      </c>
      <c r="F133" t="s">
        <v>43</v>
      </c>
      <c r="G133" t="s">
        <v>42</v>
      </c>
      <c r="H133" t="s">
        <v>41</v>
      </c>
      <c r="I133">
        <f t="shared" si="8"/>
        <v>0</v>
      </c>
      <c r="J133">
        <f t="shared" si="9"/>
        <v>1</v>
      </c>
      <c r="K133">
        <f t="shared" si="10"/>
        <v>1</v>
      </c>
      <c r="L133">
        <f t="shared" si="11"/>
        <v>1</v>
      </c>
    </row>
    <row r="134" spans="1:12" x14ac:dyDescent="0.45">
      <c r="A134" t="s">
        <v>9</v>
      </c>
      <c r="B134" t="s">
        <v>1</v>
      </c>
      <c r="C134">
        <v>3</v>
      </c>
      <c r="D134" t="s">
        <v>2</v>
      </c>
      <c r="E134">
        <v>5</v>
      </c>
      <c r="F134" t="s">
        <v>43</v>
      </c>
      <c r="G134" t="s">
        <v>42</v>
      </c>
      <c r="H134" t="s">
        <v>41</v>
      </c>
      <c r="I134">
        <f t="shared" si="8"/>
        <v>1</v>
      </c>
      <c r="J134">
        <f t="shared" si="9"/>
        <v>1</v>
      </c>
      <c r="K134">
        <f t="shared" si="10"/>
        <v>1</v>
      </c>
      <c r="L134">
        <f t="shared" si="11"/>
        <v>1</v>
      </c>
    </row>
    <row r="135" spans="1:12" x14ac:dyDescent="0.45">
      <c r="A135" t="s">
        <v>9</v>
      </c>
      <c r="B135" t="s">
        <v>1</v>
      </c>
      <c r="C135">
        <v>3</v>
      </c>
      <c r="D135" t="s">
        <v>34</v>
      </c>
      <c r="E135">
        <v>5</v>
      </c>
      <c r="F135" t="s">
        <v>44</v>
      </c>
      <c r="G135" t="s">
        <v>45</v>
      </c>
      <c r="H135" t="s">
        <v>11</v>
      </c>
      <c r="I135">
        <f>IF(D135="Joy",1,0)</f>
        <v>1</v>
      </c>
      <c r="J135">
        <f>IF(ISNUMBER(SEARCH("Level 3",F135)),1,0)</f>
        <v>1</v>
      </c>
      <c r="K135">
        <f>IF(ISNUMBER(SEARCH("Level 2",G135)),1,0)</f>
        <v>0</v>
      </c>
      <c r="L135">
        <f>IF(ISNUMBER(SEARCH("Level 1",H135)),1,0)</f>
        <v>0</v>
      </c>
    </row>
    <row r="136" spans="1:12" x14ac:dyDescent="0.45">
      <c r="A136" t="s">
        <v>9</v>
      </c>
      <c r="B136" t="s">
        <v>8</v>
      </c>
      <c r="C136">
        <v>1</v>
      </c>
      <c r="D136" t="s">
        <v>5</v>
      </c>
      <c r="E136">
        <v>4</v>
      </c>
      <c r="F136" t="s">
        <v>44</v>
      </c>
      <c r="G136" t="s">
        <v>45</v>
      </c>
      <c r="H136" t="s">
        <v>11</v>
      </c>
      <c r="I136">
        <f t="shared" ref="I136:I162" si="12">IF(D136="Joy",1,0)</f>
        <v>0</v>
      </c>
      <c r="J136">
        <f t="shared" ref="J136:J162" si="13">IF(ISNUMBER(SEARCH("Level 3",F136)),1,0)</f>
        <v>1</v>
      </c>
      <c r="K136">
        <f t="shared" ref="K136:K162" si="14">IF(ISNUMBER(SEARCH("Level 2",G136)),1,0)</f>
        <v>0</v>
      </c>
      <c r="L136">
        <f t="shared" ref="L136:L162" si="15">IF(ISNUMBER(SEARCH("Level 1",H136)),1,0)</f>
        <v>0</v>
      </c>
    </row>
    <row r="137" spans="1:12" x14ac:dyDescent="0.45">
      <c r="A137" t="s">
        <v>0</v>
      </c>
      <c r="B137" t="s">
        <v>8</v>
      </c>
      <c r="C137">
        <v>4</v>
      </c>
      <c r="D137" t="s">
        <v>34</v>
      </c>
      <c r="E137">
        <v>5</v>
      </c>
      <c r="F137" t="s">
        <v>44</v>
      </c>
      <c r="G137" t="s">
        <v>46</v>
      </c>
      <c r="H137" t="s">
        <v>45</v>
      </c>
      <c r="I137">
        <f t="shared" si="12"/>
        <v>1</v>
      </c>
      <c r="J137">
        <f t="shared" si="13"/>
        <v>1</v>
      </c>
      <c r="K137">
        <f t="shared" si="14"/>
        <v>1</v>
      </c>
      <c r="L137">
        <f t="shared" si="15"/>
        <v>1</v>
      </c>
    </row>
    <row r="138" spans="1:12" x14ac:dyDescent="0.45">
      <c r="A138" t="s">
        <v>7</v>
      </c>
      <c r="B138" t="s">
        <v>1</v>
      </c>
      <c r="C138">
        <v>3</v>
      </c>
      <c r="D138" t="s">
        <v>33</v>
      </c>
      <c r="E138">
        <v>3</v>
      </c>
      <c r="F138" t="s">
        <v>44</v>
      </c>
      <c r="G138" t="s">
        <v>45</v>
      </c>
      <c r="H138" t="s">
        <v>45</v>
      </c>
      <c r="I138">
        <f t="shared" si="12"/>
        <v>0</v>
      </c>
      <c r="J138">
        <f t="shared" si="13"/>
        <v>1</v>
      </c>
      <c r="K138">
        <f t="shared" si="14"/>
        <v>0</v>
      </c>
      <c r="L138">
        <f t="shared" si="15"/>
        <v>1</v>
      </c>
    </row>
    <row r="139" spans="1:12" x14ac:dyDescent="0.45">
      <c r="A139" t="s">
        <v>0</v>
      </c>
      <c r="B139" t="s">
        <v>1</v>
      </c>
      <c r="C139">
        <v>2</v>
      </c>
      <c r="D139" t="s">
        <v>2</v>
      </c>
      <c r="E139">
        <v>4</v>
      </c>
      <c r="F139" t="s">
        <v>44</v>
      </c>
      <c r="G139" t="s">
        <v>45</v>
      </c>
      <c r="H139" t="s">
        <v>11</v>
      </c>
      <c r="I139">
        <f t="shared" si="12"/>
        <v>0</v>
      </c>
      <c r="J139">
        <f t="shared" si="13"/>
        <v>1</v>
      </c>
      <c r="K139">
        <f t="shared" si="14"/>
        <v>0</v>
      </c>
      <c r="L139">
        <f t="shared" si="15"/>
        <v>0</v>
      </c>
    </row>
    <row r="140" spans="1:12" x14ac:dyDescent="0.45">
      <c r="A140" t="s">
        <v>0</v>
      </c>
      <c r="B140" t="s">
        <v>1</v>
      </c>
      <c r="C140">
        <v>3</v>
      </c>
      <c r="D140" t="s">
        <v>34</v>
      </c>
      <c r="E140">
        <v>3</v>
      </c>
      <c r="F140" t="s">
        <v>46</v>
      </c>
      <c r="G140" t="s">
        <v>11</v>
      </c>
      <c r="H140" t="s">
        <v>44</v>
      </c>
      <c r="I140">
        <f t="shared" si="12"/>
        <v>1</v>
      </c>
      <c r="J140">
        <f t="shared" si="13"/>
        <v>0</v>
      </c>
      <c r="K140">
        <f t="shared" si="14"/>
        <v>0</v>
      </c>
      <c r="L140">
        <f t="shared" si="15"/>
        <v>0</v>
      </c>
    </row>
    <row r="141" spans="1:12" x14ac:dyDescent="0.45">
      <c r="A141" t="s">
        <v>9</v>
      </c>
      <c r="B141" t="s">
        <v>8</v>
      </c>
      <c r="C141">
        <v>2</v>
      </c>
      <c r="D141" t="s">
        <v>5</v>
      </c>
      <c r="E141">
        <v>4</v>
      </c>
      <c r="F141" t="s">
        <v>44</v>
      </c>
      <c r="G141" t="s">
        <v>45</v>
      </c>
      <c r="H141" t="s">
        <v>11</v>
      </c>
      <c r="I141">
        <f t="shared" si="12"/>
        <v>0</v>
      </c>
      <c r="J141">
        <f t="shared" si="13"/>
        <v>1</v>
      </c>
      <c r="K141">
        <f t="shared" si="14"/>
        <v>0</v>
      </c>
      <c r="L141">
        <f t="shared" si="15"/>
        <v>0</v>
      </c>
    </row>
    <row r="142" spans="1:12" x14ac:dyDescent="0.45">
      <c r="A142" t="s">
        <v>9</v>
      </c>
      <c r="B142" t="s">
        <v>1</v>
      </c>
      <c r="C142">
        <v>3</v>
      </c>
      <c r="D142" t="s">
        <v>34</v>
      </c>
      <c r="E142">
        <v>5</v>
      </c>
      <c r="F142" t="s">
        <v>44</v>
      </c>
      <c r="G142" t="s">
        <v>45</v>
      </c>
      <c r="H142" t="s">
        <v>46</v>
      </c>
      <c r="I142">
        <f t="shared" si="12"/>
        <v>1</v>
      </c>
      <c r="J142">
        <f t="shared" si="13"/>
        <v>1</v>
      </c>
      <c r="K142">
        <f t="shared" si="14"/>
        <v>0</v>
      </c>
      <c r="L142">
        <f t="shared" si="15"/>
        <v>0</v>
      </c>
    </row>
    <row r="143" spans="1:12" x14ac:dyDescent="0.45">
      <c r="A143" t="s">
        <v>0</v>
      </c>
      <c r="B143" t="s">
        <v>1</v>
      </c>
      <c r="C143">
        <v>4</v>
      </c>
      <c r="D143" t="s">
        <v>2</v>
      </c>
      <c r="E143">
        <v>4</v>
      </c>
      <c r="F143" t="s">
        <v>11</v>
      </c>
      <c r="G143" t="s">
        <v>44</v>
      </c>
      <c r="H143" t="s">
        <v>46</v>
      </c>
      <c r="I143">
        <f t="shared" si="12"/>
        <v>0</v>
      </c>
      <c r="J143">
        <f t="shared" si="13"/>
        <v>0</v>
      </c>
      <c r="K143">
        <f t="shared" si="14"/>
        <v>0</v>
      </c>
      <c r="L143">
        <f t="shared" si="15"/>
        <v>0</v>
      </c>
    </row>
    <row r="144" spans="1:12" x14ac:dyDescent="0.45">
      <c r="A144" t="s">
        <v>0</v>
      </c>
      <c r="B144" t="s">
        <v>1</v>
      </c>
      <c r="C144">
        <v>4</v>
      </c>
      <c r="D144" t="s">
        <v>2</v>
      </c>
      <c r="E144">
        <v>4</v>
      </c>
      <c r="F144" t="s">
        <v>11</v>
      </c>
      <c r="G144" t="s">
        <v>44</v>
      </c>
      <c r="H144" t="s">
        <v>45</v>
      </c>
      <c r="I144">
        <f t="shared" si="12"/>
        <v>0</v>
      </c>
      <c r="J144">
        <f t="shared" si="13"/>
        <v>0</v>
      </c>
      <c r="K144">
        <f t="shared" si="14"/>
        <v>0</v>
      </c>
      <c r="L144">
        <f t="shared" si="15"/>
        <v>1</v>
      </c>
    </row>
    <row r="145" spans="1:12" x14ac:dyDescent="0.45">
      <c r="A145" t="s">
        <v>0</v>
      </c>
      <c r="B145" t="s">
        <v>1</v>
      </c>
      <c r="C145">
        <v>1</v>
      </c>
      <c r="D145" t="s">
        <v>33</v>
      </c>
      <c r="E145">
        <v>4</v>
      </c>
      <c r="F145" t="s">
        <v>44</v>
      </c>
      <c r="G145" t="s">
        <v>45</v>
      </c>
      <c r="H145" t="s">
        <v>46</v>
      </c>
      <c r="I145">
        <f t="shared" si="12"/>
        <v>0</v>
      </c>
      <c r="J145">
        <f t="shared" si="13"/>
        <v>1</v>
      </c>
      <c r="K145">
        <f t="shared" si="14"/>
        <v>0</v>
      </c>
      <c r="L145">
        <f t="shared" si="15"/>
        <v>0</v>
      </c>
    </row>
    <row r="146" spans="1:12" x14ac:dyDescent="0.45">
      <c r="A146" t="s">
        <v>9</v>
      </c>
      <c r="B146" t="s">
        <v>8</v>
      </c>
      <c r="C146">
        <v>2</v>
      </c>
      <c r="D146" t="s">
        <v>34</v>
      </c>
      <c r="E146">
        <v>4</v>
      </c>
      <c r="F146" t="s">
        <v>44</v>
      </c>
      <c r="G146" t="s">
        <v>45</v>
      </c>
      <c r="H146" t="s">
        <v>46</v>
      </c>
      <c r="I146">
        <f t="shared" si="12"/>
        <v>1</v>
      </c>
      <c r="J146">
        <f t="shared" si="13"/>
        <v>1</v>
      </c>
      <c r="K146">
        <f t="shared" si="14"/>
        <v>0</v>
      </c>
      <c r="L146">
        <f t="shared" si="15"/>
        <v>0</v>
      </c>
    </row>
    <row r="147" spans="1:12" x14ac:dyDescent="0.45">
      <c r="A147" t="s">
        <v>9</v>
      </c>
      <c r="B147" t="s">
        <v>8</v>
      </c>
      <c r="C147">
        <v>2</v>
      </c>
      <c r="D147" t="s">
        <v>39</v>
      </c>
      <c r="E147">
        <v>5</v>
      </c>
      <c r="F147" t="s">
        <v>44</v>
      </c>
      <c r="G147" t="s">
        <v>46</v>
      </c>
      <c r="H147" t="s">
        <v>45</v>
      </c>
      <c r="I147">
        <f t="shared" si="12"/>
        <v>0</v>
      </c>
      <c r="J147">
        <f t="shared" si="13"/>
        <v>1</v>
      </c>
      <c r="K147">
        <f t="shared" si="14"/>
        <v>1</v>
      </c>
      <c r="L147">
        <f t="shared" si="15"/>
        <v>1</v>
      </c>
    </row>
    <row r="148" spans="1:12" x14ac:dyDescent="0.45">
      <c r="A148" t="s">
        <v>7</v>
      </c>
      <c r="B148" t="s">
        <v>8</v>
      </c>
      <c r="C148">
        <v>3</v>
      </c>
      <c r="D148" t="s">
        <v>2</v>
      </c>
      <c r="E148">
        <v>5</v>
      </c>
      <c r="F148" t="s">
        <v>44</v>
      </c>
      <c r="G148" t="s">
        <v>45</v>
      </c>
      <c r="H148" t="s">
        <v>46</v>
      </c>
      <c r="I148">
        <f t="shared" si="12"/>
        <v>0</v>
      </c>
      <c r="J148">
        <f t="shared" si="13"/>
        <v>1</v>
      </c>
      <c r="K148">
        <f t="shared" si="14"/>
        <v>0</v>
      </c>
      <c r="L148">
        <f t="shared" si="15"/>
        <v>0</v>
      </c>
    </row>
    <row r="149" spans="1:12" x14ac:dyDescent="0.45">
      <c r="A149" t="s">
        <v>0</v>
      </c>
      <c r="B149" t="s">
        <v>1</v>
      </c>
      <c r="C149">
        <v>3</v>
      </c>
      <c r="D149" t="s">
        <v>34</v>
      </c>
      <c r="E149">
        <v>4</v>
      </c>
      <c r="F149" t="s">
        <v>44</v>
      </c>
      <c r="G149" t="s">
        <v>46</v>
      </c>
      <c r="H149" t="s">
        <v>45</v>
      </c>
      <c r="I149">
        <f t="shared" si="12"/>
        <v>1</v>
      </c>
      <c r="J149">
        <f t="shared" si="13"/>
        <v>1</v>
      </c>
      <c r="K149">
        <f t="shared" si="14"/>
        <v>1</v>
      </c>
      <c r="L149">
        <f t="shared" si="15"/>
        <v>1</v>
      </c>
    </row>
    <row r="150" spans="1:12" x14ac:dyDescent="0.45">
      <c r="A150" t="s">
        <v>9</v>
      </c>
      <c r="B150" t="s">
        <v>1</v>
      </c>
      <c r="C150">
        <v>5</v>
      </c>
      <c r="D150" t="s">
        <v>34</v>
      </c>
      <c r="E150">
        <v>5</v>
      </c>
      <c r="F150" t="s">
        <v>44</v>
      </c>
      <c r="G150" t="s">
        <v>46</v>
      </c>
      <c r="H150" t="s">
        <v>45</v>
      </c>
      <c r="I150">
        <f t="shared" si="12"/>
        <v>1</v>
      </c>
      <c r="J150">
        <f t="shared" si="13"/>
        <v>1</v>
      </c>
      <c r="K150">
        <f t="shared" si="14"/>
        <v>1</v>
      </c>
      <c r="L150">
        <f t="shared" si="15"/>
        <v>1</v>
      </c>
    </row>
    <row r="151" spans="1:12" x14ac:dyDescent="0.45">
      <c r="A151" t="s">
        <v>7</v>
      </c>
      <c r="B151" t="s">
        <v>8</v>
      </c>
      <c r="C151">
        <v>1</v>
      </c>
      <c r="D151" t="s">
        <v>11</v>
      </c>
      <c r="E151">
        <v>1</v>
      </c>
      <c r="F151" t="s">
        <v>46</v>
      </c>
      <c r="G151" t="s">
        <v>11</v>
      </c>
      <c r="H151" t="s">
        <v>45</v>
      </c>
      <c r="I151">
        <f t="shared" si="12"/>
        <v>0</v>
      </c>
      <c r="J151">
        <f t="shared" si="13"/>
        <v>0</v>
      </c>
      <c r="K151">
        <f t="shared" si="14"/>
        <v>0</v>
      </c>
      <c r="L151">
        <f t="shared" si="15"/>
        <v>1</v>
      </c>
    </row>
    <row r="152" spans="1:12" x14ac:dyDescent="0.45">
      <c r="A152" t="s">
        <v>35</v>
      </c>
      <c r="B152" t="s">
        <v>8</v>
      </c>
      <c r="C152">
        <v>2</v>
      </c>
      <c r="D152" t="s">
        <v>33</v>
      </c>
      <c r="E152">
        <v>4</v>
      </c>
      <c r="F152" t="s">
        <v>44</v>
      </c>
      <c r="G152" t="s">
        <v>45</v>
      </c>
      <c r="H152" t="s">
        <v>11</v>
      </c>
      <c r="I152">
        <f t="shared" si="12"/>
        <v>0</v>
      </c>
      <c r="J152">
        <f t="shared" si="13"/>
        <v>1</v>
      </c>
      <c r="K152">
        <f t="shared" si="14"/>
        <v>0</v>
      </c>
      <c r="L152">
        <f t="shared" si="15"/>
        <v>0</v>
      </c>
    </row>
    <row r="153" spans="1:12" x14ac:dyDescent="0.45">
      <c r="A153" t="s">
        <v>35</v>
      </c>
      <c r="B153" t="s">
        <v>8</v>
      </c>
      <c r="C153">
        <v>2</v>
      </c>
      <c r="D153" t="s">
        <v>34</v>
      </c>
      <c r="E153">
        <v>4</v>
      </c>
      <c r="F153" t="s">
        <v>44</v>
      </c>
      <c r="G153" t="s">
        <v>45</v>
      </c>
      <c r="H153" t="s">
        <v>11</v>
      </c>
      <c r="I153">
        <f t="shared" si="12"/>
        <v>1</v>
      </c>
      <c r="J153">
        <f t="shared" si="13"/>
        <v>1</v>
      </c>
      <c r="K153">
        <f t="shared" si="14"/>
        <v>0</v>
      </c>
      <c r="L153">
        <f t="shared" si="15"/>
        <v>0</v>
      </c>
    </row>
    <row r="154" spans="1:12" x14ac:dyDescent="0.45">
      <c r="A154" t="s">
        <v>7</v>
      </c>
      <c r="B154" t="s">
        <v>8</v>
      </c>
      <c r="C154">
        <v>1</v>
      </c>
      <c r="D154" t="s">
        <v>34</v>
      </c>
      <c r="E154">
        <v>5</v>
      </c>
      <c r="F154" t="s">
        <v>46</v>
      </c>
      <c r="G154" t="s">
        <v>45</v>
      </c>
      <c r="H154" t="s">
        <v>45</v>
      </c>
      <c r="I154">
        <f t="shared" si="12"/>
        <v>1</v>
      </c>
      <c r="J154">
        <f t="shared" si="13"/>
        <v>0</v>
      </c>
      <c r="K154">
        <f t="shared" si="14"/>
        <v>0</v>
      </c>
      <c r="L154">
        <f t="shared" si="15"/>
        <v>1</v>
      </c>
    </row>
    <row r="155" spans="1:12" x14ac:dyDescent="0.45">
      <c r="A155" t="s">
        <v>7</v>
      </c>
      <c r="B155" t="s">
        <v>8</v>
      </c>
      <c r="C155">
        <v>1</v>
      </c>
      <c r="D155" t="s">
        <v>34</v>
      </c>
      <c r="E155">
        <v>5</v>
      </c>
      <c r="F155" t="s">
        <v>44</v>
      </c>
      <c r="G155" t="s">
        <v>11</v>
      </c>
      <c r="H155" t="s">
        <v>46</v>
      </c>
      <c r="I155">
        <f t="shared" si="12"/>
        <v>1</v>
      </c>
      <c r="J155">
        <f t="shared" si="13"/>
        <v>1</v>
      </c>
      <c r="K155">
        <f t="shared" si="14"/>
        <v>0</v>
      </c>
      <c r="L155">
        <f t="shared" si="15"/>
        <v>0</v>
      </c>
    </row>
    <row r="156" spans="1:12" x14ac:dyDescent="0.45">
      <c r="A156" t="s">
        <v>7</v>
      </c>
      <c r="B156" t="s">
        <v>1</v>
      </c>
      <c r="C156">
        <v>1</v>
      </c>
      <c r="D156" t="s">
        <v>34</v>
      </c>
      <c r="E156">
        <v>3</v>
      </c>
      <c r="F156" t="s">
        <v>44</v>
      </c>
      <c r="G156" t="s">
        <v>46</v>
      </c>
      <c r="H156" t="s">
        <v>45</v>
      </c>
      <c r="I156">
        <f t="shared" si="12"/>
        <v>1</v>
      </c>
      <c r="J156">
        <f t="shared" si="13"/>
        <v>1</v>
      </c>
      <c r="K156">
        <f t="shared" si="14"/>
        <v>1</v>
      </c>
      <c r="L156">
        <f t="shared" si="15"/>
        <v>1</v>
      </c>
    </row>
    <row r="157" spans="1:12" x14ac:dyDescent="0.45">
      <c r="A157" t="s">
        <v>9</v>
      </c>
      <c r="B157" t="s">
        <v>8</v>
      </c>
      <c r="C157">
        <v>2</v>
      </c>
      <c r="D157" t="s">
        <v>47</v>
      </c>
      <c r="E157">
        <v>4</v>
      </c>
      <c r="F157" t="s">
        <v>44</v>
      </c>
      <c r="G157" t="s">
        <v>46</v>
      </c>
      <c r="H157" t="s">
        <v>46</v>
      </c>
      <c r="I157">
        <f t="shared" si="12"/>
        <v>0</v>
      </c>
      <c r="J157">
        <f t="shared" si="13"/>
        <v>1</v>
      </c>
      <c r="K157">
        <f t="shared" si="14"/>
        <v>1</v>
      </c>
      <c r="L157">
        <f t="shared" si="15"/>
        <v>0</v>
      </c>
    </row>
    <row r="158" spans="1:12" x14ac:dyDescent="0.45">
      <c r="A158" t="s">
        <v>9</v>
      </c>
      <c r="B158" t="s">
        <v>8</v>
      </c>
      <c r="C158">
        <v>1</v>
      </c>
      <c r="D158" t="s">
        <v>33</v>
      </c>
      <c r="E158">
        <v>5</v>
      </c>
      <c r="F158" t="s">
        <v>46</v>
      </c>
      <c r="G158" t="s">
        <v>45</v>
      </c>
      <c r="H158" t="s">
        <v>45</v>
      </c>
      <c r="I158">
        <f t="shared" si="12"/>
        <v>0</v>
      </c>
      <c r="J158">
        <f t="shared" si="13"/>
        <v>0</v>
      </c>
      <c r="K158">
        <f t="shared" si="14"/>
        <v>0</v>
      </c>
      <c r="L158">
        <f t="shared" si="15"/>
        <v>1</v>
      </c>
    </row>
    <row r="159" spans="1:12" x14ac:dyDescent="0.45">
      <c r="A159" t="s">
        <v>9</v>
      </c>
      <c r="B159" t="s">
        <v>1</v>
      </c>
      <c r="C159">
        <v>3</v>
      </c>
      <c r="D159" t="s">
        <v>34</v>
      </c>
      <c r="E159">
        <v>5</v>
      </c>
      <c r="F159" t="s">
        <v>44</v>
      </c>
      <c r="G159" t="s">
        <v>46</v>
      </c>
      <c r="H159" t="s">
        <v>45</v>
      </c>
      <c r="I159">
        <f t="shared" si="12"/>
        <v>1</v>
      </c>
      <c r="J159">
        <f t="shared" si="13"/>
        <v>1</v>
      </c>
      <c r="K159">
        <f t="shared" si="14"/>
        <v>1</v>
      </c>
      <c r="L159">
        <f t="shared" si="15"/>
        <v>1</v>
      </c>
    </row>
    <row r="160" spans="1:12" x14ac:dyDescent="0.45">
      <c r="A160" t="s">
        <v>9</v>
      </c>
      <c r="B160" t="s">
        <v>1</v>
      </c>
      <c r="C160">
        <v>3</v>
      </c>
      <c r="D160" t="s">
        <v>34</v>
      </c>
      <c r="E160">
        <v>5</v>
      </c>
      <c r="F160" t="s">
        <v>44</v>
      </c>
      <c r="G160" t="s">
        <v>46</v>
      </c>
      <c r="H160" t="s">
        <v>45</v>
      </c>
      <c r="I160">
        <f t="shared" si="12"/>
        <v>1</v>
      </c>
      <c r="J160">
        <f t="shared" si="13"/>
        <v>1</v>
      </c>
      <c r="K160">
        <f t="shared" si="14"/>
        <v>1</v>
      </c>
      <c r="L160">
        <f t="shared" si="15"/>
        <v>1</v>
      </c>
    </row>
    <row r="161" spans="1:12" x14ac:dyDescent="0.45">
      <c r="A161" t="s">
        <v>9</v>
      </c>
      <c r="B161" t="s">
        <v>8</v>
      </c>
      <c r="C161">
        <v>1</v>
      </c>
      <c r="D161" t="s">
        <v>5</v>
      </c>
      <c r="E161">
        <v>2</v>
      </c>
      <c r="F161" t="s">
        <v>46</v>
      </c>
      <c r="G161" t="s">
        <v>45</v>
      </c>
      <c r="H161" t="s">
        <v>44</v>
      </c>
      <c r="I161">
        <f t="shared" si="12"/>
        <v>0</v>
      </c>
      <c r="J161">
        <f t="shared" si="13"/>
        <v>0</v>
      </c>
      <c r="K161">
        <f t="shared" si="14"/>
        <v>0</v>
      </c>
      <c r="L161">
        <f t="shared" si="15"/>
        <v>0</v>
      </c>
    </row>
    <row r="162" spans="1:12" x14ac:dyDescent="0.45">
      <c r="A162" t="s">
        <v>9</v>
      </c>
      <c r="B162" t="s">
        <v>1</v>
      </c>
      <c r="C162">
        <v>2</v>
      </c>
      <c r="D162" t="s">
        <v>5</v>
      </c>
      <c r="E162">
        <v>4</v>
      </c>
      <c r="F162" t="s">
        <v>46</v>
      </c>
      <c r="G162" t="s">
        <v>44</v>
      </c>
      <c r="H162" t="s">
        <v>45</v>
      </c>
      <c r="I162">
        <f t="shared" si="12"/>
        <v>0</v>
      </c>
      <c r="J162">
        <f t="shared" si="13"/>
        <v>0</v>
      </c>
      <c r="K162">
        <f t="shared" si="14"/>
        <v>0</v>
      </c>
      <c r="L162">
        <f t="shared" si="15"/>
        <v>1</v>
      </c>
    </row>
    <row r="163" spans="1:12" x14ac:dyDescent="0.45">
      <c r="A163" t="s">
        <v>0</v>
      </c>
      <c r="B163" t="s">
        <v>8</v>
      </c>
      <c r="C163">
        <v>4</v>
      </c>
      <c r="D163" t="s">
        <v>47</v>
      </c>
      <c r="E163">
        <v>3</v>
      </c>
      <c r="F163" t="s">
        <v>48</v>
      </c>
      <c r="G163" t="s">
        <v>49</v>
      </c>
      <c r="H163" t="s">
        <v>50</v>
      </c>
      <c r="I163">
        <f>IF(D163="Sadness",1,0)</f>
        <v>1</v>
      </c>
      <c r="J163">
        <f>IF(ISNUMBER(SEARCH("Level 2",F163)),1,0)</f>
        <v>1</v>
      </c>
      <c r="K163">
        <f>IF(ISNUMBER(SEARCH("Level 1",G163)),1,0)</f>
        <v>1</v>
      </c>
      <c r="L163">
        <f>IF(ISNUMBER(SEARCH("Level 3",H163)),1,0)</f>
        <v>1</v>
      </c>
    </row>
    <row r="164" spans="1:12" x14ac:dyDescent="0.45">
      <c r="A164" t="s">
        <v>0</v>
      </c>
      <c r="B164" t="s">
        <v>8</v>
      </c>
      <c r="C164">
        <v>2</v>
      </c>
      <c r="D164" t="s">
        <v>39</v>
      </c>
      <c r="E164">
        <v>4</v>
      </c>
      <c r="F164" t="s">
        <v>48</v>
      </c>
      <c r="G164" t="s">
        <v>49</v>
      </c>
      <c r="H164" t="s">
        <v>50</v>
      </c>
      <c r="I164">
        <f t="shared" ref="I164:I186" si="16">IF(D164="Sadness",1,0)</f>
        <v>0</v>
      </c>
      <c r="J164">
        <f t="shared" ref="J164:J186" si="17">IF(ISNUMBER(SEARCH("Level 3",F164)),1,0)</f>
        <v>0</v>
      </c>
      <c r="K164">
        <f t="shared" ref="K164:K186" si="18">IF(ISNUMBER(SEARCH("Level 2",G164)),1,0)</f>
        <v>0</v>
      </c>
      <c r="L164">
        <f t="shared" ref="L164:L186" si="19">IF(ISNUMBER(SEARCH("Level 1",H164)),1,0)</f>
        <v>0</v>
      </c>
    </row>
    <row r="165" spans="1:12" x14ac:dyDescent="0.45">
      <c r="A165" t="s">
        <v>7</v>
      </c>
      <c r="B165" t="s">
        <v>1</v>
      </c>
      <c r="C165">
        <v>4</v>
      </c>
      <c r="D165" t="s">
        <v>47</v>
      </c>
      <c r="E165">
        <v>3</v>
      </c>
      <c r="F165" t="s">
        <v>50</v>
      </c>
      <c r="G165" t="s">
        <v>49</v>
      </c>
      <c r="H165" t="s">
        <v>48</v>
      </c>
      <c r="I165">
        <f t="shared" si="16"/>
        <v>1</v>
      </c>
      <c r="J165">
        <f t="shared" si="17"/>
        <v>1</v>
      </c>
      <c r="K165">
        <f t="shared" si="18"/>
        <v>0</v>
      </c>
      <c r="L165">
        <f t="shared" si="19"/>
        <v>0</v>
      </c>
    </row>
    <row r="166" spans="1:12" x14ac:dyDescent="0.45">
      <c r="A166" t="s">
        <v>9</v>
      </c>
      <c r="B166" t="s">
        <v>1</v>
      </c>
      <c r="C166">
        <v>3</v>
      </c>
      <c r="D166" t="s">
        <v>39</v>
      </c>
      <c r="E166">
        <v>5</v>
      </c>
      <c r="F166" t="s">
        <v>48</v>
      </c>
      <c r="G166" t="s">
        <v>49</v>
      </c>
      <c r="H166" t="s">
        <v>50</v>
      </c>
      <c r="I166">
        <f t="shared" si="16"/>
        <v>0</v>
      </c>
      <c r="J166">
        <f t="shared" si="17"/>
        <v>0</v>
      </c>
      <c r="K166">
        <f t="shared" si="18"/>
        <v>0</v>
      </c>
      <c r="L166">
        <f t="shared" si="19"/>
        <v>0</v>
      </c>
    </row>
    <row r="167" spans="1:12" x14ac:dyDescent="0.45">
      <c r="A167" t="s">
        <v>0</v>
      </c>
      <c r="B167" t="s">
        <v>1</v>
      </c>
      <c r="C167">
        <v>3</v>
      </c>
      <c r="D167" t="s">
        <v>39</v>
      </c>
      <c r="E167">
        <v>3</v>
      </c>
      <c r="F167" t="s">
        <v>49</v>
      </c>
      <c r="G167" t="s">
        <v>48</v>
      </c>
      <c r="H167" t="s">
        <v>50</v>
      </c>
      <c r="I167">
        <f t="shared" si="16"/>
        <v>0</v>
      </c>
      <c r="J167">
        <f t="shared" si="17"/>
        <v>0</v>
      </c>
      <c r="K167">
        <f t="shared" si="18"/>
        <v>1</v>
      </c>
      <c r="L167">
        <f t="shared" si="19"/>
        <v>0</v>
      </c>
    </row>
    <row r="168" spans="1:12" x14ac:dyDescent="0.45">
      <c r="A168" t="s">
        <v>9</v>
      </c>
      <c r="B168" t="s">
        <v>8</v>
      </c>
      <c r="C168">
        <v>2</v>
      </c>
      <c r="D168" t="s">
        <v>47</v>
      </c>
      <c r="E168">
        <v>5</v>
      </c>
      <c r="F168" t="s">
        <v>48</v>
      </c>
      <c r="G168" t="s">
        <v>48</v>
      </c>
      <c r="H168" t="s">
        <v>50</v>
      </c>
      <c r="I168">
        <f t="shared" si="16"/>
        <v>1</v>
      </c>
      <c r="J168">
        <f t="shared" si="17"/>
        <v>0</v>
      </c>
      <c r="K168">
        <f t="shared" si="18"/>
        <v>1</v>
      </c>
      <c r="L168">
        <f t="shared" si="19"/>
        <v>0</v>
      </c>
    </row>
    <row r="169" spans="1:12" x14ac:dyDescent="0.45">
      <c r="A169" t="s">
        <v>0</v>
      </c>
      <c r="B169" t="s">
        <v>8</v>
      </c>
      <c r="C169">
        <v>4</v>
      </c>
      <c r="D169" t="s">
        <v>2</v>
      </c>
      <c r="E169">
        <v>1</v>
      </c>
      <c r="F169" t="s">
        <v>49</v>
      </c>
      <c r="G169" t="s">
        <v>50</v>
      </c>
      <c r="H169" t="s">
        <v>48</v>
      </c>
      <c r="I169">
        <f t="shared" si="16"/>
        <v>0</v>
      </c>
      <c r="J169">
        <f t="shared" si="17"/>
        <v>0</v>
      </c>
      <c r="K169">
        <f t="shared" si="18"/>
        <v>0</v>
      </c>
      <c r="L169">
        <f t="shared" si="19"/>
        <v>0</v>
      </c>
    </row>
    <row r="170" spans="1:12" x14ac:dyDescent="0.45">
      <c r="A170" t="s">
        <v>9</v>
      </c>
      <c r="B170" t="s">
        <v>8</v>
      </c>
      <c r="C170">
        <v>2</v>
      </c>
      <c r="D170" t="s">
        <v>39</v>
      </c>
      <c r="E170">
        <v>3</v>
      </c>
      <c r="F170" t="s">
        <v>48</v>
      </c>
      <c r="G170" t="s">
        <v>49</v>
      </c>
      <c r="H170" t="s">
        <v>50</v>
      </c>
      <c r="I170">
        <f t="shared" si="16"/>
        <v>0</v>
      </c>
      <c r="J170">
        <f t="shared" si="17"/>
        <v>0</v>
      </c>
      <c r="K170">
        <f t="shared" si="18"/>
        <v>0</v>
      </c>
      <c r="L170">
        <f t="shared" si="19"/>
        <v>0</v>
      </c>
    </row>
    <row r="171" spans="1:12" x14ac:dyDescent="0.45">
      <c r="A171" t="s">
        <v>35</v>
      </c>
      <c r="B171" t="s">
        <v>1</v>
      </c>
      <c r="C171">
        <v>1</v>
      </c>
      <c r="D171" t="s">
        <v>29</v>
      </c>
      <c r="E171">
        <v>5</v>
      </c>
      <c r="F171" t="s">
        <v>49</v>
      </c>
      <c r="G171" t="s">
        <v>48</v>
      </c>
      <c r="H171" t="s">
        <v>50</v>
      </c>
      <c r="I171">
        <f t="shared" si="16"/>
        <v>0</v>
      </c>
      <c r="J171">
        <f t="shared" si="17"/>
        <v>0</v>
      </c>
      <c r="K171">
        <f t="shared" si="18"/>
        <v>1</v>
      </c>
      <c r="L171">
        <f t="shared" si="19"/>
        <v>0</v>
      </c>
    </row>
    <row r="172" spans="1:12" x14ac:dyDescent="0.45">
      <c r="A172" t="s">
        <v>9</v>
      </c>
      <c r="B172" t="s">
        <v>8</v>
      </c>
      <c r="C172">
        <v>2</v>
      </c>
      <c r="D172" t="s">
        <v>39</v>
      </c>
      <c r="E172">
        <v>4</v>
      </c>
      <c r="F172" t="s">
        <v>48</v>
      </c>
      <c r="G172" t="s">
        <v>49</v>
      </c>
      <c r="H172" t="s">
        <v>50</v>
      </c>
      <c r="I172">
        <f t="shared" si="16"/>
        <v>0</v>
      </c>
      <c r="J172">
        <f t="shared" si="17"/>
        <v>0</v>
      </c>
      <c r="K172">
        <f t="shared" si="18"/>
        <v>0</v>
      </c>
      <c r="L172">
        <f t="shared" si="19"/>
        <v>0</v>
      </c>
    </row>
    <row r="173" spans="1:12" x14ac:dyDescent="0.45">
      <c r="A173" t="s">
        <v>0</v>
      </c>
      <c r="B173" t="s">
        <v>1</v>
      </c>
      <c r="C173">
        <v>3</v>
      </c>
      <c r="D173" t="s">
        <v>2</v>
      </c>
      <c r="E173">
        <v>1</v>
      </c>
      <c r="F173" t="s">
        <v>48</v>
      </c>
      <c r="G173" t="s">
        <v>49</v>
      </c>
      <c r="H173" t="s">
        <v>50</v>
      </c>
      <c r="I173">
        <f t="shared" si="16"/>
        <v>0</v>
      </c>
      <c r="J173">
        <f t="shared" si="17"/>
        <v>0</v>
      </c>
      <c r="K173">
        <f t="shared" si="18"/>
        <v>0</v>
      </c>
      <c r="L173">
        <f t="shared" si="19"/>
        <v>0</v>
      </c>
    </row>
    <row r="174" spans="1:12" x14ac:dyDescent="0.45">
      <c r="A174" t="s">
        <v>0</v>
      </c>
      <c r="B174" t="s">
        <v>1</v>
      </c>
      <c r="C174">
        <v>3</v>
      </c>
      <c r="D174" t="s">
        <v>2</v>
      </c>
      <c r="E174">
        <v>1</v>
      </c>
      <c r="F174" t="s">
        <v>48</v>
      </c>
      <c r="G174" t="s">
        <v>49</v>
      </c>
      <c r="H174" t="s">
        <v>50</v>
      </c>
      <c r="I174">
        <f t="shared" si="16"/>
        <v>0</v>
      </c>
      <c r="J174">
        <f t="shared" si="17"/>
        <v>0</v>
      </c>
      <c r="K174">
        <f t="shared" si="18"/>
        <v>0</v>
      </c>
      <c r="L174">
        <f t="shared" si="19"/>
        <v>0</v>
      </c>
    </row>
    <row r="175" spans="1:12" x14ac:dyDescent="0.45">
      <c r="A175" t="s">
        <v>0</v>
      </c>
      <c r="B175" t="s">
        <v>1</v>
      </c>
      <c r="C175">
        <v>5</v>
      </c>
      <c r="D175" t="s">
        <v>2</v>
      </c>
      <c r="E175">
        <v>4</v>
      </c>
      <c r="F175" t="s">
        <v>48</v>
      </c>
      <c r="G175" t="s">
        <v>49</v>
      </c>
      <c r="H175" t="s">
        <v>50</v>
      </c>
      <c r="I175">
        <f t="shared" si="16"/>
        <v>0</v>
      </c>
      <c r="J175">
        <f t="shared" si="17"/>
        <v>0</v>
      </c>
      <c r="K175">
        <f t="shared" si="18"/>
        <v>0</v>
      </c>
      <c r="L175">
        <f t="shared" si="19"/>
        <v>0</v>
      </c>
    </row>
    <row r="176" spans="1:12" x14ac:dyDescent="0.45">
      <c r="A176" t="s">
        <v>9</v>
      </c>
      <c r="B176" t="s">
        <v>1</v>
      </c>
      <c r="C176">
        <v>5</v>
      </c>
      <c r="D176" t="s">
        <v>47</v>
      </c>
      <c r="E176">
        <v>3</v>
      </c>
      <c r="F176" t="s">
        <v>48</v>
      </c>
      <c r="G176" t="s">
        <v>49</v>
      </c>
      <c r="H176" t="s">
        <v>50</v>
      </c>
      <c r="I176">
        <f t="shared" si="16"/>
        <v>1</v>
      </c>
      <c r="J176">
        <f t="shared" si="17"/>
        <v>0</v>
      </c>
      <c r="K176">
        <f t="shared" si="18"/>
        <v>0</v>
      </c>
      <c r="L176">
        <f t="shared" si="19"/>
        <v>0</v>
      </c>
    </row>
    <row r="177" spans="1:12" x14ac:dyDescent="0.45">
      <c r="A177" t="s">
        <v>7</v>
      </c>
      <c r="B177" t="s">
        <v>8</v>
      </c>
      <c r="C177">
        <v>1</v>
      </c>
      <c r="D177" t="s">
        <v>11</v>
      </c>
      <c r="E177">
        <v>5</v>
      </c>
      <c r="F177" t="s">
        <v>48</v>
      </c>
      <c r="G177" t="s">
        <v>49</v>
      </c>
      <c r="H177" t="s">
        <v>50</v>
      </c>
      <c r="I177">
        <f t="shared" si="16"/>
        <v>0</v>
      </c>
      <c r="J177">
        <f t="shared" si="17"/>
        <v>0</v>
      </c>
      <c r="K177">
        <f t="shared" si="18"/>
        <v>0</v>
      </c>
      <c r="L177">
        <f t="shared" si="19"/>
        <v>0</v>
      </c>
    </row>
    <row r="178" spans="1:12" x14ac:dyDescent="0.45">
      <c r="A178" t="s">
        <v>7</v>
      </c>
      <c r="B178" t="s">
        <v>1</v>
      </c>
      <c r="C178">
        <v>3</v>
      </c>
      <c r="D178" t="s">
        <v>39</v>
      </c>
      <c r="E178">
        <v>3</v>
      </c>
      <c r="F178" t="s">
        <v>11</v>
      </c>
      <c r="G178" t="s">
        <v>48</v>
      </c>
      <c r="H178" t="s">
        <v>50</v>
      </c>
      <c r="I178">
        <f t="shared" si="16"/>
        <v>0</v>
      </c>
      <c r="J178">
        <f t="shared" si="17"/>
        <v>0</v>
      </c>
      <c r="K178">
        <f t="shared" si="18"/>
        <v>1</v>
      </c>
      <c r="L178">
        <f t="shared" si="19"/>
        <v>0</v>
      </c>
    </row>
    <row r="179" spans="1:12" x14ac:dyDescent="0.45">
      <c r="A179" t="s">
        <v>7</v>
      </c>
      <c r="B179" t="s">
        <v>8</v>
      </c>
      <c r="C179">
        <v>1</v>
      </c>
      <c r="D179" t="s">
        <v>2</v>
      </c>
      <c r="E179">
        <v>2</v>
      </c>
      <c r="F179" t="s">
        <v>50</v>
      </c>
      <c r="G179" t="s">
        <v>48</v>
      </c>
      <c r="H179" t="s">
        <v>50</v>
      </c>
      <c r="I179">
        <f t="shared" si="16"/>
        <v>0</v>
      </c>
      <c r="J179">
        <f t="shared" si="17"/>
        <v>1</v>
      </c>
      <c r="K179">
        <f t="shared" si="18"/>
        <v>1</v>
      </c>
      <c r="L179">
        <f t="shared" si="19"/>
        <v>0</v>
      </c>
    </row>
    <row r="180" spans="1:12" x14ac:dyDescent="0.45">
      <c r="A180" t="s">
        <v>7</v>
      </c>
      <c r="B180" t="s">
        <v>8</v>
      </c>
      <c r="C180">
        <v>1</v>
      </c>
      <c r="D180" t="s">
        <v>2</v>
      </c>
      <c r="E180">
        <v>4</v>
      </c>
      <c r="F180" t="s">
        <v>49</v>
      </c>
      <c r="G180" t="s">
        <v>48</v>
      </c>
      <c r="H180" t="s">
        <v>50</v>
      </c>
      <c r="I180">
        <f t="shared" si="16"/>
        <v>0</v>
      </c>
      <c r="J180">
        <f t="shared" si="17"/>
        <v>0</v>
      </c>
      <c r="K180">
        <f t="shared" si="18"/>
        <v>1</v>
      </c>
      <c r="L180">
        <f t="shared" si="19"/>
        <v>0</v>
      </c>
    </row>
    <row r="181" spans="1:12" x14ac:dyDescent="0.45">
      <c r="A181" t="s">
        <v>7</v>
      </c>
      <c r="B181" t="s">
        <v>8</v>
      </c>
      <c r="C181">
        <v>1</v>
      </c>
      <c r="D181" t="s">
        <v>39</v>
      </c>
      <c r="E181">
        <v>5</v>
      </c>
      <c r="F181" t="s">
        <v>11</v>
      </c>
      <c r="G181" t="s">
        <v>50</v>
      </c>
      <c r="H181" t="s">
        <v>50</v>
      </c>
      <c r="I181">
        <f t="shared" si="16"/>
        <v>0</v>
      </c>
      <c r="J181">
        <f t="shared" si="17"/>
        <v>0</v>
      </c>
      <c r="K181">
        <f t="shared" si="18"/>
        <v>0</v>
      </c>
      <c r="L181">
        <f t="shared" si="19"/>
        <v>0</v>
      </c>
    </row>
    <row r="182" spans="1:12" x14ac:dyDescent="0.45">
      <c r="A182" t="s">
        <v>7</v>
      </c>
      <c r="B182" t="s">
        <v>1</v>
      </c>
      <c r="C182">
        <v>1</v>
      </c>
      <c r="D182" t="s">
        <v>2</v>
      </c>
      <c r="E182">
        <v>3</v>
      </c>
      <c r="F182" t="s">
        <v>48</v>
      </c>
      <c r="G182" t="s">
        <v>11</v>
      </c>
      <c r="H182" t="s">
        <v>11</v>
      </c>
      <c r="I182">
        <f t="shared" si="16"/>
        <v>0</v>
      </c>
      <c r="J182">
        <f t="shared" si="17"/>
        <v>0</v>
      </c>
      <c r="K182">
        <f t="shared" si="18"/>
        <v>0</v>
      </c>
      <c r="L182">
        <f t="shared" si="19"/>
        <v>0</v>
      </c>
    </row>
    <row r="183" spans="1:12" x14ac:dyDescent="0.45">
      <c r="A183" t="s">
        <v>35</v>
      </c>
      <c r="B183" t="s">
        <v>1</v>
      </c>
      <c r="C183">
        <v>1</v>
      </c>
      <c r="D183" t="s">
        <v>39</v>
      </c>
      <c r="E183">
        <v>2</v>
      </c>
      <c r="F183" t="s">
        <v>48</v>
      </c>
      <c r="G183" t="s">
        <v>48</v>
      </c>
      <c r="H183" t="s">
        <v>48</v>
      </c>
      <c r="I183">
        <f t="shared" si="16"/>
        <v>0</v>
      </c>
      <c r="J183">
        <f t="shared" si="17"/>
        <v>0</v>
      </c>
      <c r="K183">
        <f t="shared" si="18"/>
        <v>1</v>
      </c>
      <c r="L183">
        <f t="shared" si="19"/>
        <v>0</v>
      </c>
    </row>
    <row r="184" spans="1:12" x14ac:dyDescent="0.45">
      <c r="A184" t="s">
        <v>0</v>
      </c>
      <c r="B184" t="s">
        <v>8</v>
      </c>
      <c r="C184">
        <v>1</v>
      </c>
      <c r="D184" t="s">
        <v>2</v>
      </c>
      <c r="E184">
        <v>3</v>
      </c>
      <c r="F184" t="s">
        <v>49</v>
      </c>
      <c r="G184" t="s">
        <v>48</v>
      </c>
      <c r="H184" t="s">
        <v>50</v>
      </c>
      <c r="I184">
        <f t="shared" si="16"/>
        <v>0</v>
      </c>
      <c r="J184">
        <f t="shared" si="17"/>
        <v>0</v>
      </c>
      <c r="K184">
        <f t="shared" si="18"/>
        <v>1</v>
      </c>
      <c r="L184">
        <f t="shared" si="19"/>
        <v>0</v>
      </c>
    </row>
    <row r="185" spans="1:12" x14ac:dyDescent="0.45">
      <c r="A185" t="s">
        <v>7</v>
      </c>
      <c r="B185" t="s">
        <v>8</v>
      </c>
      <c r="C185">
        <v>1</v>
      </c>
      <c r="D185" t="s">
        <v>39</v>
      </c>
      <c r="E185">
        <v>3</v>
      </c>
      <c r="F185" t="s">
        <v>48</v>
      </c>
      <c r="G185" t="s">
        <v>50</v>
      </c>
      <c r="H185" t="s">
        <v>50</v>
      </c>
      <c r="I185">
        <f t="shared" si="16"/>
        <v>0</v>
      </c>
      <c r="J185">
        <f t="shared" si="17"/>
        <v>0</v>
      </c>
      <c r="K185">
        <f t="shared" si="18"/>
        <v>0</v>
      </c>
      <c r="L185">
        <f t="shared" si="19"/>
        <v>0</v>
      </c>
    </row>
    <row r="186" spans="1:12" x14ac:dyDescent="0.45">
      <c r="A186" t="s">
        <v>10</v>
      </c>
      <c r="B186" t="s">
        <v>8</v>
      </c>
      <c r="C186">
        <v>4</v>
      </c>
      <c r="D186" t="s">
        <v>29</v>
      </c>
      <c r="E186">
        <v>4</v>
      </c>
      <c r="F186" t="s">
        <v>48</v>
      </c>
      <c r="G186" t="s">
        <v>49</v>
      </c>
      <c r="H186" t="s">
        <v>50</v>
      </c>
      <c r="I186">
        <f t="shared" si="16"/>
        <v>0</v>
      </c>
      <c r="J186">
        <f t="shared" si="17"/>
        <v>0</v>
      </c>
      <c r="K186">
        <f t="shared" si="18"/>
        <v>0</v>
      </c>
      <c r="L186">
        <f t="shared" si="19"/>
        <v>0</v>
      </c>
    </row>
    <row r="187" spans="1:12" x14ac:dyDescent="0.45">
      <c r="A187" t="s">
        <v>9</v>
      </c>
      <c r="B187" t="s">
        <v>51</v>
      </c>
      <c r="C187">
        <v>2</v>
      </c>
      <c r="D187" t="s">
        <v>39</v>
      </c>
      <c r="E187">
        <v>3</v>
      </c>
      <c r="F187" t="s">
        <v>52</v>
      </c>
      <c r="G187" t="s">
        <v>53</v>
      </c>
      <c r="H187" t="s">
        <v>54</v>
      </c>
      <c r="I187">
        <f>IF(D187="Surprise",1,0)</f>
        <v>0</v>
      </c>
      <c r="J187">
        <f>IF(ISNUMBER(SEARCH("Level 1",F187)),1,0)</f>
        <v>1</v>
      </c>
      <c r="K187">
        <f>IF(ISNUMBER(SEARCH("Level 3",G187)),1,0)</f>
        <v>1</v>
      </c>
      <c r="L187">
        <f>IF(ISNUMBER(SEARCH("Level 2",H187)),1,0)</f>
        <v>1</v>
      </c>
    </row>
    <row r="188" spans="1:12" x14ac:dyDescent="0.45">
      <c r="A188" t="s">
        <v>10</v>
      </c>
      <c r="B188" t="s">
        <v>1</v>
      </c>
      <c r="C188">
        <v>2</v>
      </c>
      <c r="D188" t="s">
        <v>29</v>
      </c>
      <c r="E188">
        <v>3</v>
      </c>
      <c r="F188" t="s">
        <v>52</v>
      </c>
      <c r="G188" t="s">
        <v>11</v>
      </c>
      <c r="H188" t="s">
        <v>53</v>
      </c>
      <c r="I188">
        <f t="shared" ref="I188:I222" si="20">IF(D188="Surprise",1,0)</f>
        <v>0</v>
      </c>
      <c r="J188">
        <f t="shared" ref="J188:J222" si="21">IF(ISNUMBER(SEARCH("Level 1",F188)),1,0)</f>
        <v>1</v>
      </c>
      <c r="K188">
        <f t="shared" ref="K188:K222" si="22">IF(ISNUMBER(SEARCH("Level 3",G188)),1,0)</f>
        <v>0</v>
      </c>
      <c r="L188">
        <f t="shared" ref="L188:L222" si="23">IF(ISNUMBER(SEARCH("Level 2",H188)),1,0)</f>
        <v>0</v>
      </c>
    </row>
    <row r="189" spans="1:12" x14ac:dyDescent="0.45">
      <c r="A189" t="s">
        <v>0</v>
      </c>
      <c r="B189" t="s">
        <v>1</v>
      </c>
      <c r="C189">
        <v>2</v>
      </c>
      <c r="D189" t="s">
        <v>2</v>
      </c>
      <c r="E189">
        <v>3</v>
      </c>
      <c r="F189" t="s">
        <v>52</v>
      </c>
      <c r="G189" t="s">
        <v>54</v>
      </c>
      <c r="H189" t="s">
        <v>53</v>
      </c>
      <c r="I189">
        <f t="shared" si="20"/>
        <v>0</v>
      </c>
      <c r="J189">
        <f t="shared" si="21"/>
        <v>1</v>
      </c>
      <c r="K189">
        <f t="shared" si="22"/>
        <v>0</v>
      </c>
      <c r="L189">
        <f t="shared" si="23"/>
        <v>0</v>
      </c>
    </row>
    <row r="190" spans="1:12" x14ac:dyDescent="0.45">
      <c r="A190" t="s">
        <v>0</v>
      </c>
      <c r="B190" t="s">
        <v>8</v>
      </c>
      <c r="C190">
        <v>3</v>
      </c>
      <c r="D190" t="s">
        <v>2</v>
      </c>
      <c r="E190">
        <v>3</v>
      </c>
      <c r="F190" t="s">
        <v>52</v>
      </c>
      <c r="G190" t="s">
        <v>54</v>
      </c>
      <c r="H190" t="s">
        <v>53</v>
      </c>
      <c r="I190">
        <f t="shared" si="20"/>
        <v>0</v>
      </c>
      <c r="J190">
        <f t="shared" si="21"/>
        <v>1</v>
      </c>
      <c r="K190">
        <f t="shared" si="22"/>
        <v>0</v>
      </c>
      <c r="L190">
        <f t="shared" si="23"/>
        <v>0</v>
      </c>
    </row>
    <row r="191" spans="1:12" x14ac:dyDescent="0.45">
      <c r="A191" t="s">
        <v>0</v>
      </c>
      <c r="B191" t="s">
        <v>8</v>
      </c>
      <c r="C191">
        <v>2</v>
      </c>
      <c r="D191" t="s">
        <v>2</v>
      </c>
      <c r="E191">
        <v>5</v>
      </c>
      <c r="F191" t="s">
        <v>11</v>
      </c>
      <c r="G191" t="s">
        <v>54</v>
      </c>
      <c r="H191" t="s">
        <v>52</v>
      </c>
      <c r="I191">
        <f t="shared" si="20"/>
        <v>0</v>
      </c>
      <c r="J191">
        <f t="shared" si="21"/>
        <v>0</v>
      </c>
      <c r="K191">
        <f t="shared" si="22"/>
        <v>0</v>
      </c>
      <c r="L191">
        <f t="shared" si="23"/>
        <v>0</v>
      </c>
    </row>
    <row r="192" spans="1:12" x14ac:dyDescent="0.45">
      <c r="A192" t="s">
        <v>0</v>
      </c>
      <c r="B192" t="s">
        <v>1</v>
      </c>
      <c r="C192">
        <v>3</v>
      </c>
      <c r="D192" t="s">
        <v>2</v>
      </c>
      <c r="E192">
        <v>3</v>
      </c>
      <c r="F192" t="s">
        <v>52</v>
      </c>
      <c r="G192" t="s">
        <v>54</v>
      </c>
      <c r="H192" t="s">
        <v>53</v>
      </c>
      <c r="I192">
        <f t="shared" si="20"/>
        <v>0</v>
      </c>
      <c r="J192">
        <f t="shared" si="21"/>
        <v>1</v>
      </c>
      <c r="K192">
        <f t="shared" si="22"/>
        <v>0</v>
      </c>
      <c r="L192">
        <f t="shared" si="23"/>
        <v>0</v>
      </c>
    </row>
    <row r="193" spans="1:12" x14ac:dyDescent="0.45">
      <c r="A193" t="s">
        <v>0</v>
      </c>
      <c r="B193" t="s">
        <v>8</v>
      </c>
      <c r="C193">
        <v>4</v>
      </c>
      <c r="D193" t="s">
        <v>2</v>
      </c>
      <c r="E193">
        <v>5</v>
      </c>
      <c r="F193" t="s">
        <v>52</v>
      </c>
      <c r="G193" t="s">
        <v>53</v>
      </c>
      <c r="H193" t="s">
        <v>54</v>
      </c>
      <c r="I193">
        <f t="shared" si="20"/>
        <v>0</v>
      </c>
      <c r="J193">
        <f t="shared" si="21"/>
        <v>1</v>
      </c>
      <c r="K193">
        <f t="shared" si="22"/>
        <v>1</v>
      </c>
      <c r="L193">
        <f t="shared" si="23"/>
        <v>1</v>
      </c>
    </row>
    <row r="194" spans="1:12" x14ac:dyDescent="0.45">
      <c r="A194" t="s">
        <v>0</v>
      </c>
      <c r="B194" t="s">
        <v>1</v>
      </c>
      <c r="C194">
        <v>1</v>
      </c>
      <c r="D194" t="s">
        <v>2</v>
      </c>
      <c r="E194">
        <v>5</v>
      </c>
      <c r="F194" t="s">
        <v>54</v>
      </c>
      <c r="G194" t="s">
        <v>52</v>
      </c>
      <c r="H194" t="s">
        <v>53</v>
      </c>
      <c r="I194">
        <f t="shared" si="20"/>
        <v>0</v>
      </c>
      <c r="J194">
        <f t="shared" si="21"/>
        <v>0</v>
      </c>
      <c r="K194">
        <f t="shared" si="22"/>
        <v>0</v>
      </c>
      <c r="L194">
        <f t="shared" si="23"/>
        <v>0</v>
      </c>
    </row>
    <row r="195" spans="1:12" x14ac:dyDescent="0.45">
      <c r="A195" t="s">
        <v>9</v>
      </c>
      <c r="B195" t="s">
        <v>1</v>
      </c>
      <c r="C195">
        <v>3</v>
      </c>
      <c r="D195" t="s">
        <v>2</v>
      </c>
      <c r="E195">
        <v>5</v>
      </c>
      <c r="F195" t="s">
        <v>52</v>
      </c>
      <c r="G195" t="s">
        <v>53</v>
      </c>
      <c r="H195" t="s">
        <v>54</v>
      </c>
      <c r="I195">
        <f t="shared" si="20"/>
        <v>0</v>
      </c>
      <c r="J195">
        <f t="shared" si="21"/>
        <v>1</v>
      </c>
      <c r="K195">
        <f t="shared" si="22"/>
        <v>1</v>
      </c>
      <c r="L195">
        <f t="shared" si="23"/>
        <v>1</v>
      </c>
    </row>
    <row r="196" spans="1:12" x14ac:dyDescent="0.45">
      <c r="A196" t="s">
        <v>9</v>
      </c>
      <c r="B196" t="s">
        <v>1</v>
      </c>
      <c r="C196">
        <v>3</v>
      </c>
      <c r="D196" t="s">
        <v>2</v>
      </c>
      <c r="E196">
        <v>3</v>
      </c>
      <c r="F196" t="s">
        <v>52</v>
      </c>
      <c r="G196" t="s">
        <v>54</v>
      </c>
      <c r="H196" t="s">
        <v>53</v>
      </c>
      <c r="I196">
        <f t="shared" si="20"/>
        <v>0</v>
      </c>
      <c r="J196">
        <f t="shared" si="21"/>
        <v>1</v>
      </c>
      <c r="K196">
        <f t="shared" si="22"/>
        <v>0</v>
      </c>
      <c r="L196">
        <f t="shared" si="23"/>
        <v>0</v>
      </c>
    </row>
    <row r="197" spans="1:12" x14ac:dyDescent="0.45">
      <c r="A197" t="s">
        <v>9</v>
      </c>
      <c r="B197" t="s">
        <v>8</v>
      </c>
      <c r="C197">
        <v>2</v>
      </c>
      <c r="D197" t="s">
        <v>33</v>
      </c>
      <c r="E197">
        <v>4</v>
      </c>
      <c r="F197" t="s">
        <v>52</v>
      </c>
      <c r="G197" t="s">
        <v>53</v>
      </c>
      <c r="H197" t="s">
        <v>53</v>
      </c>
      <c r="I197">
        <f t="shared" si="20"/>
        <v>1</v>
      </c>
      <c r="J197">
        <f t="shared" si="21"/>
        <v>1</v>
      </c>
      <c r="K197">
        <f t="shared" si="22"/>
        <v>1</v>
      </c>
      <c r="L197">
        <f t="shared" si="23"/>
        <v>0</v>
      </c>
    </row>
    <row r="198" spans="1:12" x14ac:dyDescent="0.45">
      <c r="A198" t="s">
        <v>9</v>
      </c>
      <c r="B198" t="s">
        <v>1</v>
      </c>
      <c r="C198">
        <v>1</v>
      </c>
      <c r="D198" t="s">
        <v>33</v>
      </c>
      <c r="E198">
        <v>4</v>
      </c>
      <c r="F198" t="s">
        <v>52</v>
      </c>
      <c r="G198" t="s">
        <v>54</v>
      </c>
      <c r="H198" t="s">
        <v>53</v>
      </c>
      <c r="I198">
        <f t="shared" si="20"/>
        <v>1</v>
      </c>
      <c r="J198">
        <f t="shared" si="21"/>
        <v>1</v>
      </c>
      <c r="K198">
        <f t="shared" si="22"/>
        <v>0</v>
      </c>
      <c r="L198">
        <f t="shared" si="23"/>
        <v>0</v>
      </c>
    </row>
    <row r="199" spans="1:12" x14ac:dyDescent="0.45">
      <c r="A199" t="s">
        <v>7</v>
      </c>
      <c r="B199" t="s">
        <v>1</v>
      </c>
      <c r="C199">
        <v>4</v>
      </c>
      <c r="D199" t="s">
        <v>33</v>
      </c>
      <c r="E199">
        <v>5</v>
      </c>
      <c r="F199" t="s">
        <v>52</v>
      </c>
      <c r="G199" t="s">
        <v>53</v>
      </c>
      <c r="H199" t="s">
        <v>54</v>
      </c>
      <c r="I199">
        <f t="shared" si="20"/>
        <v>1</v>
      </c>
      <c r="J199">
        <f t="shared" si="21"/>
        <v>1</v>
      </c>
      <c r="K199">
        <f t="shared" si="22"/>
        <v>1</v>
      </c>
      <c r="L199">
        <f t="shared" si="23"/>
        <v>1</v>
      </c>
    </row>
    <row r="200" spans="1:12" x14ac:dyDescent="0.45">
      <c r="A200" t="s">
        <v>0</v>
      </c>
      <c r="B200" t="s">
        <v>1</v>
      </c>
      <c r="C200">
        <v>3</v>
      </c>
      <c r="D200" t="s">
        <v>2</v>
      </c>
      <c r="E200">
        <v>3</v>
      </c>
      <c r="F200" t="s">
        <v>52</v>
      </c>
      <c r="G200" t="s">
        <v>54</v>
      </c>
      <c r="H200" t="s">
        <v>53</v>
      </c>
      <c r="I200">
        <f t="shared" si="20"/>
        <v>0</v>
      </c>
      <c r="J200">
        <f t="shared" si="21"/>
        <v>1</v>
      </c>
      <c r="K200">
        <f t="shared" si="22"/>
        <v>0</v>
      </c>
      <c r="L200">
        <f t="shared" si="23"/>
        <v>0</v>
      </c>
    </row>
    <row r="201" spans="1:12" x14ac:dyDescent="0.45">
      <c r="A201" t="s">
        <v>0</v>
      </c>
      <c r="B201" t="s">
        <v>1</v>
      </c>
      <c r="C201">
        <v>5</v>
      </c>
      <c r="D201" t="s">
        <v>33</v>
      </c>
      <c r="E201">
        <v>4</v>
      </c>
      <c r="F201" t="s">
        <v>52</v>
      </c>
      <c r="G201" t="s">
        <v>53</v>
      </c>
      <c r="H201" t="s">
        <v>54</v>
      </c>
      <c r="I201">
        <f t="shared" si="20"/>
        <v>1</v>
      </c>
      <c r="J201">
        <f t="shared" si="21"/>
        <v>1</v>
      </c>
      <c r="K201">
        <f t="shared" si="22"/>
        <v>1</v>
      </c>
      <c r="L201">
        <f t="shared" si="23"/>
        <v>1</v>
      </c>
    </row>
    <row r="202" spans="1:12" x14ac:dyDescent="0.45">
      <c r="A202" t="s">
        <v>0</v>
      </c>
      <c r="B202" t="s">
        <v>8</v>
      </c>
      <c r="C202">
        <v>2</v>
      </c>
      <c r="D202" t="s">
        <v>2</v>
      </c>
      <c r="E202">
        <v>5</v>
      </c>
      <c r="F202" t="s">
        <v>52</v>
      </c>
      <c r="G202" t="s">
        <v>52</v>
      </c>
      <c r="H202" t="s">
        <v>11</v>
      </c>
      <c r="I202">
        <f t="shared" si="20"/>
        <v>0</v>
      </c>
      <c r="J202">
        <f t="shared" si="21"/>
        <v>1</v>
      </c>
      <c r="K202">
        <f t="shared" si="22"/>
        <v>0</v>
      </c>
      <c r="L202">
        <f t="shared" si="23"/>
        <v>0</v>
      </c>
    </row>
    <row r="203" spans="1:12" x14ac:dyDescent="0.45">
      <c r="A203" t="s">
        <v>35</v>
      </c>
      <c r="B203" t="s">
        <v>1</v>
      </c>
      <c r="C203">
        <v>1</v>
      </c>
      <c r="D203" t="s">
        <v>33</v>
      </c>
      <c r="E203">
        <v>5</v>
      </c>
      <c r="F203" t="s">
        <v>52</v>
      </c>
      <c r="G203" t="s">
        <v>53</v>
      </c>
      <c r="H203" t="s">
        <v>54</v>
      </c>
      <c r="I203">
        <f t="shared" si="20"/>
        <v>1</v>
      </c>
      <c r="J203">
        <f t="shared" si="21"/>
        <v>1</v>
      </c>
      <c r="K203">
        <f t="shared" si="22"/>
        <v>1</v>
      </c>
      <c r="L203">
        <f t="shared" si="23"/>
        <v>1</v>
      </c>
    </row>
    <row r="204" spans="1:12" x14ac:dyDescent="0.45">
      <c r="A204" t="s">
        <v>9</v>
      </c>
      <c r="B204" t="s">
        <v>8</v>
      </c>
      <c r="C204">
        <v>2</v>
      </c>
      <c r="D204" t="s">
        <v>2</v>
      </c>
      <c r="E204">
        <v>1</v>
      </c>
      <c r="F204" t="s">
        <v>52</v>
      </c>
      <c r="G204" t="s">
        <v>53</v>
      </c>
      <c r="H204" t="s">
        <v>54</v>
      </c>
      <c r="I204">
        <f t="shared" si="20"/>
        <v>0</v>
      </c>
      <c r="J204">
        <f t="shared" si="21"/>
        <v>1</v>
      </c>
      <c r="K204">
        <f t="shared" si="22"/>
        <v>1</v>
      </c>
      <c r="L204">
        <f t="shared" si="23"/>
        <v>1</v>
      </c>
    </row>
    <row r="205" spans="1:12" x14ac:dyDescent="0.45">
      <c r="A205" t="s">
        <v>9</v>
      </c>
      <c r="B205" t="s">
        <v>1</v>
      </c>
      <c r="C205">
        <v>5</v>
      </c>
      <c r="D205" t="s">
        <v>2</v>
      </c>
      <c r="E205">
        <v>4</v>
      </c>
      <c r="F205" t="s">
        <v>54</v>
      </c>
      <c r="G205" t="s">
        <v>52</v>
      </c>
      <c r="H205" t="s">
        <v>53</v>
      </c>
      <c r="I205">
        <f t="shared" si="20"/>
        <v>0</v>
      </c>
      <c r="J205">
        <f t="shared" si="21"/>
        <v>0</v>
      </c>
      <c r="K205">
        <f t="shared" si="22"/>
        <v>0</v>
      </c>
      <c r="L205">
        <f t="shared" si="23"/>
        <v>0</v>
      </c>
    </row>
    <row r="206" spans="1:12" x14ac:dyDescent="0.45">
      <c r="A206" t="s">
        <v>7</v>
      </c>
      <c r="B206" t="s">
        <v>8</v>
      </c>
      <c r="C206">
        <v>1</v>
      </c>
      <c r="D206" t="s">
        <v>33</v>
      </c>
      <c r="E206">
        <v>4</v>
      </c>
      <c r="F206" t="s">
        <v>52</v>
      </c>
      <c r="G206" t="s">
        <v>54</v>
      </c>
      <c r="H206" t="s">
        <v>53</v>
      </c>
      <c r="I206">
        <f t="shared" si="20"/>
        <v>1</v>
      </c>
      <c r="J206">
        <f t="shared" si="21"/>
        <v>1</v>
      </c>
      <c r="K206">
        <f t="shared" si="22"/>
        <v>0</v>
      </c>
      <c r="L206">
        <f t="shared" si="23"/>
        <v>0</v>
      </c>
    </row>
    <row r="207" spans="1:12" x14ac:dyDescent="0.45">
      <c r="A207" t="s">
        <v>7</v>
      </c>
      <c r="B207" t="s">
        <v>8</v>
      </c>
      <c r="C207">
        <v>1</v>
      </c>
      <c r="D207" t="s">
        <v>33</v>
      </c>
      <c r="E207">
        <v>5</v>
      </c>
      <c r="F207" t="s">
        <v>52</v>
      </c>
      <c r="G207" t="s">
        <v>54</v>
      </c>
      <c r="H207" t="s">
        <v>53</v>
      </c>
      <c r="I207">
        <f t="shared" si="20"/>
        <v>1</v>
      </c>
      <c r="J207">
        <f t="shared" si="21"/>
        <v>1</v>
      </c>
      <c r="K207">
        <f t="shared" si="22"/>
        <v>0</v>
      </c>
      <c r="L207">
        <f t="shared" si="23"/>
        <v>0</v>
      </c>
    </row>
    <row r="208" spans="1:12" x14ac:dyDescent="0.45">
      <c r="A208" t="s">
        <v>35</v>
      </c>
      <c r="B208" t="s">
        <v>1</v>
      </c>
      <c r="C208">
        <v>1</v>
      </c>
      <c r="D208" t="s">
        <v>33</v>
      </c>
      <c r="E208">
        <v>4</v>
      </c>
      <c r="F208" t="s">
        <v>52</v>
      </c>
      <c r="G208" t="s">
        <v>53</v>
      </c>
      <c r="H208" t="s">
        <v>53</v>
      </c>
      <c r="I208">
        <f t="shared" si="20"/>
        <v>1</v>
      </c>
      <c r="J208">
        <f t="shared" si="21"/>
        <v>1</v>
      </c>
      <c r="K208">
        <f t="shared" si="22"/>
        <v>1</v>
      </c>
      <c r="L208">
        <f t="shared" si="23"/>
        <v>0</v>
      </c>
    </row>
    <row r="209" spans="1:12" x14ac:dyDescent="0.45">
      <c r="A209" t="s">
        <v>35</v>
      </c>
      <c r="B209" t="s">
        <v>8</v>
      </c>
      <c r="C209">
        <v>2</v>
      </c>
      <c r="D209" t="s">
        <v>33</v>
      </c>
      <c r="E209">
        <v>5</v>
      </c>
      <c r="F209" t="s">
        <v>52</v>
      </c>
      <c r="G209" t="s">
        <v>53</v>
      </c>
      <c r="H209" t="s">
        <v>54</v>
      </c>
      <c r="I209">
        <f t="shared" si="20"/>
        <v>1</v>
      </c>
      <c r="J209">
        <f t="shared" si="21"/>
        <v>1</v>
      </c>
      <c r="K209">
        <f t="shared" si="22"/>
        <v>1</v>
      </c>
      <c r="L209">
        <f t="shared" si="23"/>
        <v>1</v>
      </c>
    </row>
    <row r="210" spans="1:12" x14ac:dyDescent="0.45">
      <c r="A210" t="s">
        <v>35</v>
      </c>
      <c r="B210" t="s">
        <v>8</v>
      </c>
      <c r="C210">
        <v>2</v>
      </c>
      <c r="D210" t="s">
        <v>2</v>
      </c>
      <c r="E210">
        <v>3</v>
      </c>
      <c r="F210" t="s">
        <v>52</v>
      </c>
      <c r="G210" t="s">
        <v>53</v>
      </c>
      <c r="H210" t="s">
        <v>54</v>
      </c>
      <c r="I210">
        <f t="shared" si="20"/>
        <v>0</v>
      </c>
      <c r="J210">
        <f t="shared" si="21"/>
        <v>1</v>
      </c>
      <c r="K210">
        <f t="shared" si="22"/>
        <v>1</v>
      </c>
      <c r="L210">
        <f t="shared" si="23"/>
        <v>1</v>
      </c>
    </row>
    <row r="211" spans="1:12" x14ac:dyDescent="0.45">
      <c r="A211" t="s">
        <v>0</v>
      </c>
      <c r="B211" t="s">
        <v>1</v>
      </c>
      <c r="C211">
        <v>3</v>
      </c>
      <c r="D211" t="s">
        <v>2</v>
      </c>
      <c r="E211">
        <v>4</v>
      </c>
      <c r="F211" t="s">
        <v>52</v>
      </c>
      <c r="G211" t="s">
        <v>54</v>
      </c>
      <c r="H211" t="s">
        <v>53</v>
      </c>
      <c r="I211">
        <f t="shared" si="20"/>
        <v>0</v>
      </c>
      <c r="J211">
        <f t="shared" si="21"/>
        <v>1</v>
      </c>
      <c r="K211">
        <f t="shared" si="22"/>
        <v>0</v>
      </c>
      <c r="L211">
        <f t="shared" si="23"/>
        <v>0</v>
      </c>
    </row>
    <row r="212" spans="1:12" x14ac:dyDescent="0.45">
      <c r="A212" t="s">
        <v>55</v>
      </c>
      <c r="B212" t="s">
        <v>1</v>
      </c>
      <c r="C212">
        <v>1</v>
      </c>
      <c r="D212" t="s">
        <v>2</v>
      </c>
      <c r="E212">
        <v>1</v>
      </c>
      <c r="F212" t="s">
        <v>52</v>
      </c>
      <c r="G212" t="s">
        <v>54</v>
      </c>
      <c r="H212" t="s">
        <v>53</v>
      </c>
      <c r="I212">
        <f t="shared" si="20"/>
        <v>0</v>
      </c>
      <c r="J212">
        <f t="shared" si="21"/>
        <v>1</v>
      </c>
      <c r="K212">
        <f t="shared" si="22"/>
        <v>0</v>
      </c>
      <c r="L212">
        <f t="shared" si="23"/>
        <v>0</v>
      </c>
    </row>
    <row r="213" spans="1:12" x14ac:dyDescent="0.45">
      <c r="A213" t="s">
        <v>7</v>
      </c>
      <c r="B213" t="s">
        <v>8</v>
      </c>
      <c r="C213">
        <v>1</v>
      </c>
      <c r="D213" t="s">
        <v>2</v>
      </c>
      <c r="E213">
        <v>3</v>
      </c>
      <c r="F213" t="s">
        <v>11</v>
      </c>
      <c r="G213" t="s">
        <v>53</v>
      </c>
      <c r="H213" t="s">
        <v>52</v>
      </c>
      <c r="I213">
        <f t="shared" si="20"/>
        <v>0</v>
      </c>
      <c r="J213">
        <f t="shared" si="21"/>
        <v>0</v>
      </c>
      <c r="K213">
        <f t="shared" si="22"/>
        <v>1</v>
      </c>
      <c r="L213">
        <f t="shared" si="23"/>
        <v>0</v>
      </c>
    </row>
    <row r="214" spans="1:12" x14ac:dyDescent="0.45">
      <c r="A214" t="s">
        <v>7</v>
      </c>
      <c r="B214" t="s">
        <v>1</v>
      </c>
      <c r="C214">
        <v>3</v>
      </c>
      <c r="D214" t="s">
        <v>2</v>
      </c>
      <c r="E214">
        <v>4</v>
      </c>
      <c r="F214" t="s">
        <v>52</v>
      </c>
      <c r="G214" t="s">
        <v>52</v>
      </c>
      <c r="H214" t="s">
        <v>53</v>
      </c>
      <c r="I214">
        <f t="shared" si="20"/>
        <v>0</v>
      </c>
      <c r="J214">
        <f t="shared" si="21"/>
        <v>1</v>
      </c>
      <c r="K214">
        <f t="shared" si="22"/>
        <v>0</v>
      </c>
      <c r="L214">
        <f t="shared" si="23"/>
        <v>0</v>
      </c>
    </row>
    <row r="215" spans="1:12" x14ac:dyDescent="0.45">
      <c r="A215" t="s">
        <v>7</v>
      </c>
      <c r="B215" t="s">
        <v>8</v>
      </c>
      <c r="C215">
        <v>3</v>
      </c>
      <c r="D215" t="s">
        <v>33</v>
      </c>
      <c r="E215">
        <v>4</v>
      </c>
      <c r="F215" t="s">
        <v>52</v>
      </c>
      <c r="G215" t="s">
        <v>54</v>
      </c>
      <c r="H215" t="s">
        <v>53</v>
      </c>
      <c r="I215">
        <f t="shared" si="20"/>
        <v>1</v>
      </c>
      <c r="J215">
        <f t="shared" si="21"/>
        <v>1</v>
      </c>
      <c r="K215">
        <f t="shared" si="22"/>
        <v>0</v>
      </c>
      <c r="L215">
        <f t="shared" si="23"/>
        <v>0</v>
      </c>
    </row>
    <row r="216" spans="1:12" x14ac:dyDescent="0.45">
      <c r="A216" t="s">
        <v>9</v>
      </c>
      <c r="B216" t="s">
        <v>1</v>
      </c>
      <c r="C216">
        <v>1</v>
      </c>
      <c r="D216" t="s">
        <v>2</v>
      </c>
      <c r="E216">
        <v>2</v>
      </c>
      <c r="F216" t="s">
        <v>52</v>
      </c>
      <c r="G216" t="s">
        <v>54</v>
      </c>
      <c r="H216" t="s">
        <v>53</v>
      </c>
      <c r="I216">
        <f t="shared" si="20"/>
        <v>0</v>
      </c>
      <c r="J216">
        <f t="shared" si="21"/>
        <v>1</v>
      </c>
      <c r="K216">
        <f t="shared" si="22"/>
        <v>0</v>
      </c>
      <c r="L216">
        <f t="shared" si="23"/>
        <v>0</v>
      </c>
    </row>
    <row r="217" spans="1:12" x14ac:dyDescent="0.45">
      <c r="A217" t="s">
        <v>7</v>
      </c>
      <c r="B217" t="s">
        <v>8</v>
      </c>
      <c r="C217">
        <v>1</v>
      </c>
      <c r="D217" t="s">
        <v>2</v>
      </c>
      <c r="E217">
        <v>4</v>
      </c>
      <c r="F217" t="s">
        <v>52</v>
      </c>
      <c r="G217" t="s">
        <v>54</v>
      </c>
      <c r="H217" t="s">
        <v>53</v>
      </c>
      <c r="I217">
        <f t="shared" si="20"/>
        <v>0</v>
      </c>
      <c r="J217">
        <f t="shared" si="21"/>
        <v>1</v>
      </c>
      <c r="K217">
        <f t="shared" si="22"/>
        <v>0</v>
      </c>
      <c r="L217">
        <f t="shared" si="23"/>
        <v>0</v>
      </c>
    </row>
    <row r="218" spans="1:12" x14ac:dyDescent="0.45">
      <c r="A218" t="s">
        <v>9</v>
      </c>
      <c r="B218" t="s">
        <v>8</v>
      </c>
      <c r="C218">
        <v>1</v>
      </c>
      <c r="D218" t="s">
        <v>2</v>
      </c>
      <c r="E218">
        <v>4</v>
      </c>
      <c r="F218" t="s">
        <v>52</v>
      </c>
      <c r="G218" t="s">
        <v>54</v>
      </c>
      <c r="H218" t="s">
        <v>53</v>
      </c>
      <c r="I218">
        <f t="shared" si="20"/>
        <v>0</v>
      </c>
      <c r="J218">
        <f t="shared" si="21"/>
        <v>1</v>
      </c>
      <c r="K218">
        <f t="shared" si="22"/>
        <v>0</v>
      </c>
      <c r="L218">
        <f t="shared" si="23"/>
        <v>0</v>
      </c>
    </row>
    <row r="219" spans="1:12" x14ac:dyDescent="0.45">
      <c r="A219" t="s">
        <v>7</v>
      </c>
      <c r="B219" t="s">
        <v>1</v>
      </c>
      <c r="C219">
        <v>2</v>
      </c>
      <c r="D219" t="s">
        <v>2</v>
      </c>
      <c r="E219">
        <v>4</v>
      </c>
      <c r="F219" t="s">
        <v>54</v>
      </c>
      <c r="G219" t="s">
        <v>52</v>
      </c>
      <c r="H219" t="s">
        <v>53</v>
      </c>
      <c r="I219">
        <f t="shared" si="20"/>
        <v>0</v>
      </c>
      <c r="J219">
        <f t="shared" si="21"/>
        <v>0</v>
      </c>
      <c r="K219">
        <f t="shared" si="22"/>
        <v>0</v>
      </c>
      <c r="L219">
        <f t="shared" si="23"/>
        <v>0</v>
      </c>
    </row>
    <row r="220" spans="1:12" x14ac:dyDescent="0.45">
      <c r="A220" t="s">
        <v>7</v>
      </c>
      <c r="B220" t="s">
        <v>1</v>
      </c>
      <c r="C220">
        <v>1</v>
      </c>
      <c r="D220" t="s">
        <v>2</v>
      </c>
      <c r="E220">
        <v>4</v>
      </c>
      <c r="F220" t="s">
        <v>11</v>
      </c>
      <c r="G220" t="s">
        <v>52</v>
      </c>
      <c r="H220" t="s">
        <v>53</v>
      </c>
      <c r="I220">
        <f t="shared" si="20"/>
        <v>0</v>
      </c>
      <c r="J220">
        <f t="shared" si="21"/>
        <v>0</v>
      </c>
      <c r="K220">
        <f t="shared" si="22"/>
        <v>0</v>
      </c>
      <c r="L220">
        <f t="shared" si="23"/>
        <v>0</v>
      </c>
    </row>
    <row r="221" spans="1:12" x14ac:dyDescent="0.45">
      <c r="A221" t="s">
        <v>9</v>
      </c>
      <c r="B221" t="s">
        <v>1</v>
      </c>
      <c r="C221">
        <v>1</v>
      </c>
      <c r="D221" t="s">
        <v>2</v>
      </c>
      <c r="E221">
        <v>2</v>
      </c>
      <c r="F221" t="s">
        <v>52</v>
      </c>
      <c r="G221" t="s">
        <v>54</v>
      </c>
      <c r="H221" t="s">
        <v>53</v>
      </c>
      <c r="I221">
        <f t="shared" si="20"/>
        <v>0</v>
      </c>
      <c r="J221">
        <f t="shared" si="21"/>
        <v>1</v>
      </c>
      <c r="K221">
        <f t="shared" si="22"/>
        <v>0</v>
      </c>
      <c r="L221">
        <f t="shared" si="23"/>
        <v>0</v>
      </c>
    </row>
    <row r="222" spans="1:12" x14ac:dyDescent="0.45">
      <c r="A222" t="s">
        <v>9</v>
      </c>
      <c r="B222" t="s">
        <v>1</v>
      </c>
      <c r="C222">
        <v>3</v>
      </c>
      <c r="D222" t="s">
        <v>33</v>
      </c>
      <c r="E222">
        <v>4</v>
      </c>
      <c r="F222" t="s">
        <v>52</v>
      </c>
      <c r="G222" t="s">
        <v>53</v>
      </c>
      <c r="H222" t="s">
        <v>54</v>
      </c>
      <c r="I222">
        <f t="shared" si="20"/>
        <v>1</v>
      </c>
      <c r="J222">
        <f t="shared" si="21"/>
        <v>1</v>
      </c>
      <c r="K222">
        <f t="shared" si="22"/>
        <v>1</v>
      </c>
      <c r="L222">
        <f t="shared" si="23"/>
        <v>1</v>
      </c>
    </row>
    <row r="225" spans="8:13" x14ac:dyDescent="0.45">
      <c r="H225" t="s">
        <v>21</v>
      </c>
      <c r="I225">
        <f>AVERAGE(I2:I223)</f>
        <v>0.42081447963800905</v>
      </c>
    </row>
    <row r="226" spans="8:13" x14ac:dyDescent="0.45">
      <c r="H226" t="s">
        <v>23</v>
      </c>
      <c r="J226">
        <f>AVERAGE(J2:J223)</f>
        <v>0.579185520361991</v>
      </c>
      <c r="K226">
        <f t="shared" ref="K226:L226" si="24">AVERAGE(K2:K223)</f>
        <v>0.50678733031674206</v>
      </c>
      <c r="L226">
        <f t="shared" si="24"/>
        <v>0.62895927601809953</v>
      </c>
    </row>
    <row r="227" spans="8:13" x14ac:dyDescent="0.45">
      <c r="H227" t="s">
        <v>26</v>
      </c>
      <c r="M227">
        <f>AVERAGE(J2:L223)</f>
        <v>0.57164404223227749</v>
      </c>
    </row>
    <row r="229" spans="8:13" x14ac:dyDescent="0.45">
      <c r="H229" t="s">
        <v>27</v>
      </c>
      <c r="I229">
        <f>AVERAGE(E2:E223)</f>
        <v>3.8371040723981902</v>
      </c>
    </row>
    <row r="230" spans="8:13" x14ac:dyDescent="0.45">
      <c r="H230" t="s">
        <v>28</v>
      </c>
      <c r="I230">
        <f>_xlfn.STDEV.S(E2:E223)</f>
        <v>1.1911334300617265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6100-025F-4354-8E09-71F0817B0451}">
  <dimension ref="A1:P237"/>
  <sheetViews>
    <sheetView topLeftCell="G169" workbookViewId="0">
      <selection activeCell="Q233" sqref="Q233"/>
    </sheetView>
  </sheetViews>
  <sheetFormatPr defaultRowHeight="14.25" x14ac:dyDescent="0.45"/>
  <cols>
    <col min="6" max="8" width="18.19921875" bestFit="1" customWidth="1"/>
    <col min="9" max="9" width="14.1328125" bestFit="1" customWidth="1"/>
    <col min="10" max="10" width="11.73046875" bestFit="1" customWidth="1"/>
    <col min="11" max="11" width="10.73046875" bestFit="1" customWidth="1"/>
    <col min="12" max="12" width="11.73046875" bestFit="1" customWidth="1"/>
  </cols>
  <sheetData>
    <row r="1" spans="1:16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57</v>
      </c>
      <c r="J1" t="s">
        <v>22</v>
      </c>
      <c r="K1" t="s">
        <v>24</v>
      </c>
      <c r="L1" t="s">
        <v>25</v>
      </c>
      <c r="M1" t="s">
        <v>58</v>
      </c>
      <c r="N1" t="s">
        <v>22</v>
      </c>
      <c r="O1" t="s">
        <v>24</v>
      </c>
      <c r="P1" t="s">
        <v>25</v>
      </c>
    </row>
    <row r="2" spans="1:16" x14ac:dyDescent="0.45">
      <c r="A2" t="s">
        <v>0</v>
      </c>
      <c r="B2" t="s">
        <v>1</v>
      </c>
      <c r="C2">
        <v>1</v>
      </c>
      <c r="D2" t="s">
        <v>2</v>
      </c>
      <c r="E2">
        <v>5</v>
      </c>
      <c r="F2" t="s">
        <v>3</v>
      </c>
      <c r="G2" t="s">
        <v>3</v>
      </c>
      <c r="H2" t="s">
        <v>4</v>
      </c>
      <c r="I2">
        <f>IF(D2="Anger",1,0)</f>
        <v>0</v>
      </c>
      <c r="J2" t="str">
        <f>LEFT(F2,7)</f>
        <v>Level 1</v>
      </c>
      <c r="K2" t="str">
        <f t="shared" ref="K2:L2" si="0">LEFT(G2,7)</f>
        <v>Level 1</v>
      </c>
      <c r="L2" t="str">
        <f t="shared" si="0"/>
        <v>Level 3</v>
      </c>
      <c r="N2" t="s">
        <v>59</v>
      </c>
      <c r="O2" t="s">
        <v>62</v>
      </c>
      <c r="P2" t="s">
        <v>60</v>
      </c>
    </row>
    <row r="3" spans="1:16" x14ac:dyDescent="0.45">
      <c r="A3" t="s">
        <v>0</v>
      </c>
      <c r="B3" t="s">
        <v>1</v>
      </c>
      <c r="C3">
        <v>3</v>
      </c>
      <c r="D3" t="s">
        <v>5</v>
      </c>
      <c r="E3">
        <v>5</v>
      </c>
      <c r="F3" t="s">
        <v>4</v>
      </c>
      <c r="G3" t="s">
        <v>6</v>
      </c>
      <c r="H3" t="s">
        <v>4</v>
      </c>
      <c r="I3">
        <f t="shared" ref="I3:I35" si="1">IF(D3="Anger",1,0)</f>
        <v>1</v>
      </c>
      <c r="J3" t="str">
        <f t="shared" ref="J3:J66" si="2">LEFT(F3,7)</f>
        <v>Level 3</v>
      </c>
      <c r="K3" t="str">
        <f t="shared" ref="K3:K66" si="3">LEFT(G3,7)</f>
        <v>Level 2</v>
      </c>
      <c r="L3" t="str">
        <f t="shared" ref="L3:L66" si="4">LEFT(H3,7)</f>
        <v>Level 3</v>
      </c>
      <c r="N3" t="s">
        <v>59</v>
      </c>
      <c r="O3" t="s">
        <v>62</v>
      </c>
      <c r="P3" t="s">
        <v>60</v>
      </c>
    </row>
    <row r="4" spans="1:16" x14ac:dyDescent="0.45">
      <c r="A4" t="s">
        <v>0</v>
      </c>
      <c r="B4" t="s">
        <v>1</v>
      </c>
      <c r="C4">
        <v>2</v>
      </c>
      <c r="D4" t="s">
        <v>5</v>
      </c>
      <c r="E4">
        <v>4</v>
      </c>
      <c r="F4" t="s">
        <v>3</v>
      </c>
      <c r="G4" t="s">
        <v>6</v>
      </c>
      <c r="H4" t="s">
        <v>4</v>
      </c>
      <c r="I4">
        <f t="shared" si="1"/>
        <v>1</v>
      </c>
      <c r="J4" t="str">
        <f t="shared" si="2"/>
        <v>Level 1</v>
      </c>
      <c r="K4" t="str">
        <f t="shared" si="3"/>
        <v>Level 2</v>
      </c>
      <c r="L4" t="str">
        <f t="shared" si="4"/>
        <v>Level 3</v>
      </c>
      <c r="N4" t="s">
        <v>59</v>
      </c>
      <c r="O4" t="s">
        <v>62</v>
      </c>
      <c r="P4" t="s">
        <v>60</v>
      </c>
    </row>
    <row r="5" spans="1:16" x14ac:dyDescent="0.45">
      <c r="A5" t="s">
        <v>0</v>
      </c>
      <c r="B5" t="s">
        <v>1</v>
      </c>
      <c r="C5">
        <v>2</v>
      </c>
      <c r="D5" t="s">
        <v>2</v>
      </c>
      <c r="E5">
        <v>4</v>
      </c>
      <c r="F5" t="s">
        <v>6</v>
      </c>
      <c r="G5" t="s">
        <v>3</v>
      </c>
      <c r="H5" t="s">
        <v>4</v>
      </c>
      <c r="I5">
        <f t="shared" si="1"/>
        <v>0</v>
      </c>
      <c r="J5" t="str">
        <f t="shared" si="2"/>
        <v>Level 2</v>
      </c>
      <c r="K5" t="str">
        <f t="shared" si="3"/>
        <v>Level 1</v>
      </c>
      <c r="L5" t="str">
        <f t="shared" si="4"/>
        <v>Level 3</v>
      </c>
      <c r="N5" t="s">
        <v>59</v>
      </c>
      <c r="O5" t="s">
        <v>62</v>
      </c>
      <c r="P5" t="s">
        <v>60</v>
      </c>
    </row>
    <row r="6" spans="1:16" x14ac:dyDescent="0.45">
      <c r="A6" t="s">
        <v>7</v>
      </c>
      <c r="B6" t="s">
        <v>8</v>
      </c>
      <c r="C6">
        <v>4</v>
      </c>
      <c r="D6" t="s">
        <v>5</v>
      </c>
      <c r="E6">
        <v>5</v>
      </c>
      <c r="F6" t="s">
        <v>3</v>
      </c>
      <c r="G6" t="s">
        <v>3</v>
      </c>
      <c r="H6" t="s">
        <v>4</v>
      </c>
      <c r="I6">
        <f t="shared" si="1"/>
        <v>1</v>
      </c>
      <c r="J6" t="str">
        <f t="shared" si="2"/>
        <v>Level 1</v>
      </c>
      <c r="K6" t="str">
        <f t="shared" si="3"/>
        <v>Level 1</v>
      </c>
      <c r="L6" t="str">
        <f t="shared" si="4"/>
        <v>Level 3</v>
      </c>
      <c r="N6" t="s">
        <v>59</v>
      </c>
      <c r="O6" t="s">
        <v>62</v>
      </c>
      <c r="P6" t="s">
        <v>60</v>
      </c>
    </row>
    <row r="7" spans="1:16" x14ac:dyDescent="0.45">
      <c r="A7" t="s">
        <v>0</v>
      </c>
      <c r="B7" t="s">
        <v>1</v>
      </c>
      <c r="C7">
        <v>3</v>
      </c>
      <c r="D7" t="s">
        <v>5</v>
      </c>
      <c r="E7">
        <v>4</v>
      </c>
      <c r="F7" t="s">
        <v>3</v>
      </c>
      <c r="G7" t="s">
        <v>3</v>
      </c>
      <c r="H7" t="s">
        <v>4</v>
      </c>
      <c r="I7">
        <f t="shared" si="1"/>
        <v>1</v>
      </c>
      <c r="J7" t="str">
        <f t="shared" si="2"/>
        <v>Level 1</v>
      </c>
      <c r="K7" t="str">
        <f t="shared" si="3"/>
        <v>Level 1</v>
      </c>
      <c r="L7" t="str">
        <f t="shared" si="4"/>
        <v>Level 3</v>
      </c>
      <c r="N7" t="s">
        <v>59</v>
      </c>
      <c r="O7" t="s">
        <v>62</v>
      </c>
      <c r="P7" t="s">
        <v>60</v>
      </c>
    </row>
    <row r="8" spans="1:16" x14ac:dyDescent="0.45">
      <c r="A8" t="s">
        <v>7</v>
      </c>
      <c r="B8" t="s">
        <v>1</v>
      </c>
      <c r="C8">
        <v>3</v>
      </c>
      <c r="D8" t="s">
        <v>5</v>
      </c>
      <c r="E8">
        <v>5</v>
      </c>
      <c r="F8" t="s">
        <v>3</v>
      </c>
      <c r="G8" t="s">
        <v>6</v>
      </c>
      <c r="H8" t="s">
        <v>4</v>
      </c>
      <c r="I8">
        <f t="shared" si="1"/>
        <v>1</v>
      </c>
      <c r="J8" t="str">
        <f t="shared" si="2"/>
        <v>Level 1</v>
      </c>
      <c r="K8" t="str">
        <f t="shared" si="3"/>
        <v>Level 2</v>
      </c>
      <c r="L8" t="str">
        <f t="shared" si="4"/>
        <v>Level 3</v>
      </c>
      <c r="N8" t="s">
        <v>59</v>
      </c>
      <c r="O8" t="s">
        <v>62</v>
      </c>
      <c r="P8" t="s">
        <v>60</v>
      </c>
    </row>
    <row r="9" spans="1:16" x14ac:dyDescent="0.45">
      <c r="A9" t="s">
        <v>0</v>
      </c>
      <c r="B9" t="s">
        <v>1</v>
      </c>
      <c r="C9">
        <v>2</v>
      </c>
      <c r="D9" t="s">
        <v>5</v>
      </c>
      <c r="E9">
        <v>5</v>
      </c>
      <c r="F9" t="s">
        <v>3</v>
      </c>
      <c r="G9" t="s">
        <v>3</v>
      </c>
      <c r="H9" t="s">
        <v>6</v>
      </c>
      <c r="I9">
        <f t="shared" si="1"/>
        <v>1</v>
      </c>
      <c r="J9" t="str">
        <f t="shared" si="2"/>
        <v>Level 1</v>
      </c>
      <c r="K9" t="str">
        <f t="shared" si="3"/>
        <v>Level 1</v>
      </c>
      <c r="L9" t="str">
        <f t="shared" si="4"/>
        <v>Level 2</v>
      </c>
      <c r="N9" t="s">
        <v>59</v>
      </c>
      <c r="O9" t="s">
        <v>62</v>
      </c>
      <c r="P9" t="s">
        <v>60</v>
      </c>
    </row>
    <row r="10" spans="1:16" x14ac:dyDescent="0.45">
      <c r="A10" t="s">
        <v>9</v>
      </c>
      <c r="B10" t="s">
        <v>1</v>
      </c>
      <c r="C10">
        <v>3</v>
      </c>
      <c r="D10" t="s">
        <v>5</v>
      </c>
      <c r="E10">
        <v>5</v>
      </c>
      <c r="F10" t="s">
        <v>3</v>
      </c>
      <c r="G10" t="s">
        <v>6</v>
      </c>
      <c r="H10" t="s">
        <v>4</v>
      </c>
      <c r="I10">
        <f t="shared" si="1"/>
        <v>1</v>
      </c>
      <c r="J10" t="str">
        <f t="shared" si="2"/>
        <v>Level 1</v>
      </c>
      <c r="K10" t="str">
        <f t="shared" si="3"/>
        <v>Level 2</v>
      </c>
      <c r="L10" t="str">
        <f t="shared" si="4"/>
        <v>Level 3</v>
      </c>
      <c r="N10" t="s">
        <v>59</v>
      </c>
      <c r="O10" t="s">
        <v>62</v>
      </c>
      <c r="P10" t="s">
        <v>60</v>
      </c>
    </row>
    <row r="11" spans="1:16" x14ac:dyDescent="0.45">
      <c r="A11" t="s">
        <v>0</v>
      </c>
      <c r="B11" t="s">
        <v>1</v>
      </c>
      <c r="C11">
        <v>4</v>
      </c>
      <c r="D11" t="s">
        <v>5</v>
      </c>
      <c r="E11">
        <v>5</v>
      </c>
      <c r="F11" t="s">
        <v>3</v>
      </c>
      <c r="G11" t="s">
        <v>3</v>
      </c>
      <c r="H11" t="s">
        <v>4</v>
      </c>
      <c r="I11">
        <f t="shared" si="1"/>
        <v>1</v>
      </c>
      <c r="J11" t="str">
        <f t="shared" si="2"/>
        <v>Level 1</v>
      </c>
      <c r="K11" t="str">
        <f t="shared" si="3"/>
        <v>Level 1</v>
      </c>
      <c r="L11" t="str">
        <f t="shared" si="4"/>
        <v>Level 3</v>
      </c>
      <c r="N11" t="s">
        <v>59</v>
      </c>
      <c r="O11" t="s">
        <v>62</v>
      </c>
      <c r="P11" t="s">
        <v>60</v>
      </c>
    </row>
    <row r="12" spans="1:16" x14ac:dyDescent="0.45">
      <c r="A12" t="s">
        <v>0</v>
      </c>
      <c r="B12" t="s">
        <v>8</v>
      </c>
      <c r="C12">
        <v>4</v>
      </c>
      <c r="D12" t="s">
        <v>2</v>
      </c>
      <c r="E12">
        <v>5</v>
      </c>
      <c r="F12" t="s">
        <v>3</v>
      </c>
      <c r="G12" t="s">
        <v>6</v>
      </c>
      <c r="H12" t="s">
        <v>4</v>
      </c>
      <c r="I12">
        <f t="shared" si="1"/>
        <v>0</v>
      </c>
      <c r="J12" t="str">
        <f t="shared" si="2"/>
        <v>Level 1</v>
      </c>
      <c r="K12" t="str">
        <f t="shared" si="3"/>
        <v>Level 2</v>
      </c>
      <c r="L12" t="str">
        <f t="shared" si="4"/>
        <v>Level 3</v>
      </c>
      <c r="N12" t="s">
        <v>59</v>
      </c>
      <c r="O12" t="s">
        <v>62</v>
      </c>
      <c r="P12" t="s">
        <v>60</v>
      </c>
    </row>
    <row r="13" spans="1:16" x14ac:dyDescent="0.45">
      <c r="A13" t="s">
        <v>10</v>
      </c>
      <c r="B13" t="s">
        <v>1</v>
      </c>
      <c r="C13">
        <v>5</v>
      </c>
      <c r="D13" t="s">
        <v>5</v>
      </c>
      <c r="E13">
        <v>5</v>
      </c>
      <c r="F13" t="s">
        <v>3</v>
      </c>
      <c r="G13" t="s">
        <v>3</v>
      </c>
      <c r="H13" t="s">
        <v>4</v>
      </c>
      <c r="I13">
        <f t="shared" si="1"/>
        <v>1</v>
      </c>
      <c r="J13" t="str">
        <f t="shared" si="2"/>
        <v>Level 1</v>
      </c>
      <c r="K13" t="str">
        <f t="shared" si="3"/>
        <v>Level 1</v>
      </c>
      <c r="L13" t="str">
        <f t="shared" si="4"/>
        <v>Level 3</v>
      </c>
      <c r="N13" t="s">
        <v>59</v>
      </c>
      <c r="O13" t="s">
        <v>62</v>
      </c>
      <c r="P13" t="s">
        <v>60</v>
      </c>
    </row>
    <row r="14" spans="1:16" x14ac:dyDescent="0.45">
      <c r="A14" t="s">
        <v>0</v>
      </c>
      <c r="B14" t="s">
        <v>8</v>
      </c>
      <c r="C14">
        <v>4</v>
      </c>
      <c r="D14" t="s">
        <v>5</v>
      </c>
      <c r="E14">
        <v>5</v>
      </c>
      <c r="F14" t="s">
        <v>3</v>
      </c>
      <c r="G14" t="s">
        <v>3</v>
      </c>
      <c r="H14" t="s">
        <v>4</v>
      </c>
      <c r="I14">
        <f t="shared" si="1"/>
        <v>1</v>
      </c>
      <c r="J14" t="str">
        <f t="shared" si="2"/>
        <v>Level 1</v>
      </c>
      <c r="K14" t="str">
        <f t="shared" si="3"/>
        <v>Level 1</v>
      </c>
      <c r="L14" t="str">
        <f t="shared" si="4"/>
        <v>Level 3</v>
      </c>
      <c r="N14" t="s">
        <v>59</v>
      </c>
      <c r="O14" t="s">
        <v>62</v>
      </c>
      <c r="P14" t="s">
        <v>60</v>
      </c>
    </row>
    <row r="15" spans="1:16" x14ac:dyDescent="0.45">
      <c r="A15" t="s">
        <v>9</v>
      </c>
      <c r="B15" t="s">
        <v>8</v>
      </c>
      <c r="C15">
        <v>1</v>
      </c>
      <c r="D15" t="s">
        <v>5</v>
      </c>
      <c r="E15">
        <v>5</v>
      </c>
      <c r="F15" t="s">
        <v>3</v>
      </c>
      <c r="G15" t="s">
        <v>6</v>
      </c>
      <c r="H15" t="s">
        <v>4</v>
      </c>
      <c r="I15">
        <f t="shared" si="1"/>
        <v>1</v>
      </c>
      <c r="J15" t="str">
        <f t="shared" si="2"/>
        <v>Level 1</v>
      </c>
      <c r="K15" t="str">
        <f t="shared" si="3"/>
        <v>Level 2</v>
      </c>
      <c r="L15" t="str">
        <f t="shared" si="4"/>
        <v>Level 3</v>
      </c>
      <c r="N15" t="s">
        <v>59</v>
      </c>
      <c r="O15" t="s">
        <v>62</v>
      </c>
      <c r="P15" t="s">
        <v>60</v>
      </c>
    </row>
    <row r="16" spans="1:16" x14ac:dyDescent="0.45">
      <c r="A16" t="s">
        <v>9</v>
      </c>
      <c r="B16" t="s">
        <v>8</v>
      </c>
      <c r="C16">
        <v>2</v>
      </c>
      <c r="D16" t="s">
        <v>5</v>
      </c>
      <c r="E16">
        <v>5</v>
      </c>
      <c r="F16" t="s">
        <v>3</v>
      </c>
      <c r="G16" t="s">
        <v>6</v>
      </c>
      <c r="H16" t="s">
        <v>4</v>
      </c>
      <c r="I16">
        <f t="shared" si="1"/>
        <v>1</v>
      </c>
      <c r="J16" t="str">
        <f t="shared" si="2"/>
        <v>Level 1</v>
      </c>
      <c r="K16" t="str">
        <f t="shared" si="3"/>
        <v>Level 2</v>
      </c>
      <c r="L16" t="str">
        <f t="shared" si="4"/>
        <v>Level 3</v>
      </c>
      <c r="N16" t="s">
        <v>59</v>
      </c>
      <c r="O16" t="s">
        <v>62</v>
      </c>
      <c r="P16" t="s">
        <v>60</v>
      </c>
    </row>
    <row r="17" spans="1:16" x14ac:dyDescent="0.45">
      <c r="A17" t="s">
        <v>0</v>
      </c>
      <c r="B17" t="s">
        <v>8</v>
      </c>
      <c r="C17">
        <v>1</v>
      </c>
      <c r="D17" t="s">
        <v>5</v>
      </c>
      <c r="E17">
        <v>4</v>
      </c>
      <c r="F17" t="s">
        <v>3</v>
      </c>
      <c r="G17" t="s">
        <v>6</v>
      </c>
      <c r="H17" t="s">
        <v>4</v>
      </c>
      <c r="I17">
        <f t="shared" si="1"/>
        <v>1</v>
      </c>
      <c r="J17" t="str">
        <f t="shared" si="2"/>
        <v>Level 1</v>
      </c>
      <c r="K17" t="str">
        <f t="shared" si="3"/>
        <v>Level 2</v>
      </c>
      <c r="L17" t="str">
        <f t="shared" si="4"/>
        <v>Level 3</v>
      </c>
      <c r="N17" t="s">
        <v>59</v>
      </c>
      <c r="O17" t="s">
        <v>62</v>
      </c>
      <c r="P17" t="s">
        <v>60</v>
      </c>
    </row>
    <row r="18" spans="1:16" x14ac:dyDescent="0.45">
      <c r="A18" t="s">
        <v>0</v>
      </c>
      <c r="B18" t="s">
        <v>1</v>
      </c>
      <c r="C18">
        <v>1</v>
      </c>
      <c r="D18" t="s">
        <v>11</v>
      </c>
      <c r="E18">
        <v>3</v>
      </c>
      <c r="F18" t="s">
        <v>3</v>
      </c>
      <c r="G18" t="s">
        <v>3</v>
      </c>
      <c r="H18" t="s">
        <v>6</v>
      </c>
      <c r="I18">
        <f t="shared" si="1"/>
        <v>0</v>
      </c>
      <c r="J18" t="str">
        <f t="shared" si="2"/>
        <v>Level 1</v>
      </c>
      <c r="K18" t="str">
        <f t="shared" si="3"/>
        <v>Level 1</v>
      </c>
      <c r="L18" t="str">
        <f t="shared" si="4"/>
        <v>Level 2</v>
      </c>
      <c r="N18" t="s">
        <v>59</v>
      </c>
      <c r="O18" t="s">
        <v>62</v>
      </c>
      <c r="P18" t="s">
        <v>60</v>
      </c>
    </row>
    <row r="19" spans="1:16" x14ac:dyDescent="0.45">
      <c r="A19" t="s">
        <v>9</v>
      </c>
      <c r="B19" t="s">
        <v>1</v>
      </c>
      <c r="C19">
        <v>5</v>
      </c>
      <c r="D19" t="s">
        <v>5</v>
      </c>
      <c r="E19">
        <v>5</v>
      </c>
      <c r="F19" t="s">
        <v>3</v>
      </c>
      <c r="G19" t="s">
        <v>6</v>
      </c>
      <c r="H19" t="s">
        <v>4</v>
      </c>
      <c r="I19">
        <f t="shared" si="1"/>
        <v>1</v>
      </c>
      <c r="J19" t="str">
        <f t="shared" si="2"/>
        <v>Level 1</v>
      </c>
      <c r="K19" t="str">
        <f t="shared" si="3"/>
        <v>Level 2</v>
      </c>
      <c r="L19" t="str">
        <f t="shared" si="4"/>
        <v>Level 3</v>
      </c>
      <c r="N19" t="s">
        <v>59</v>
      </c>
      <c r="O19" t="s">
        <v>62</v>
      </c>
      <c r="P19" t="s">
        <v>60</v>
      </c>
    </row>
    <row r="20" spans="1:16" x14ac:dyDescent="0.45">
      <c r="A20" t="s">
        <v>0</v>
      </c>
      <c r="B20" t="s">
        <v>1</v>
      </c>
      <c r="C20">
        <v>3</v>
      </c>
      <c r="D20" t="s">
        <v>2</v>
      </c>
      <c r="E20">
        <v>5</v>
      </c>
      <c r="F20" t="s">
        <v>3</v>
      </c>
      <c r="G20" t="s">
        <v>3</v>
      </c>
      <c r="H20" t="s">
        <v>4</v>
      </c>
      <c r="I20">
        <f t="shared" si="1"/>
        <v>0</v>
      </c>
      <c r="J20" t="str">
        <f t="shared" si="2"/>
        <v>Level 1</v>
      </c>
      <c r="K20" t="str">
        <f t="shared" si="3"/>
        <v>Level 1</v>
      </c>
      <c r="L20" t="str">
        <f t="shared" si="4"/>
        <v>Level 3</v>
      </c>
      <c r="N20" t="s">
        <v>59</v>
      </c>
      <c r="O20" t="s">
        <v>62</v>
      </c>
      <c r="P20" t="s">
        <v>60</v>
      </c>
    </row>
    <row r="21" spans="1:16" x14ac:dyDescent="0.45">
      <c r="A21" t="s">
        <v>7</v>
      </c>
      <c r="B21" t="s">
        <v>8</v>
      </c>
      <c r="C21">
        <v>1</v>
      </c>
      <c r="D21" t="s">
        <v>2</v>
      </c>
      <c r="E21">
        <v>5</v>
      </c>
      <c r="F21" t="s">
        <v>3</v>
      </c>
      <c r="G21" t="s">
        <v>3</v>
      </c>
      <c r="H21" t="s">
        <v>4</v>
      </c>
      <c r="I21">
        <f t="shared" si="1"/>
        <v>0</v>
      </c>
      <c r="J21" t="str">
        <f t="shared" si="2"/>
        <v>Level 1</v>
      </c>
      <c r="K21" t="str">
        <f t="shared" si="3"/>
        <v>Level 1</v>
      </c>
      <c r="L21" t="str">
        <f t="shared" si="4"/>
        <v>Level 3</v>
      </c>
      <c r="N21" t="s">
        <v>59</v>
      </c>
      <c r="O21" t="s">
        <v>62</v>
      </c>
      <c r="P21" t="s">
        <v>60</v>
      </c>
    </row>
    <row r="22" spans="1:16" x14ac:dyDescent="0.45">
      <c r="A22" t="s">
        <v>7</v>
      </c>
      <c r="B22" t="s">
        <v>8</v>
      </c>
      <c r="C22">
        <v>1</v>
      </c>
      <c r="D22" t="s">
        <v>2</v>
      </c>
      <c r="E22">
        <v>4</v>
      </c>
      <c r="F22" t="s">
        <v>3</v>
      </c>
      <c r="G22" t="s">
        <v>6</v>
      </c>
      <c r="H22" t="s">
        <v>4</v>
      </c>
      <c r="I22">
        <f t="shared" si="1"/>
        <v>0</v>
      </c>
      <c r="J22" t="str">
        <f t="shared" si="2"/>
        <v>Level 1</v>
      </c>
      <c r="K22" t="str">
        <f t="shared" si="3"/>
        <v>Level 2</v>
      </c>
      <c r="L22" t="str">
        <f t="shared" si="4"/>
        <v>Level 3</v>
      </c>
      <c r="N22" t="s">
        <v>59</v>
      </c>
      <c r="O22" t="s">
        <v>62</v>
      </c>
      <c r="P22" t="s">
        <v>60</v>
      </c>
    </row>
    <row r="23" spans="1:16" x14ac:dyDescent="0.45">
      <c r="A23" t="s">
        <v>7</v>
      </c>
      <c r="B23" t="s">
        <v>8</v>
      </c>
      <c r="C23">
        <v>1</v>
      </c>
      <c r="D23" t="s">
        <v>5</v>
      </c>
      <c r="E23">
        <v>1</v>
      </c>
      <c r="F23" t="s">
        <v>3</v>
      </c>
      <c r="G23" t="s">
        <v>3</v>
      </c>
      <c r="H23" t="s">
        <v>4</v>
      </c>
      <c r="I23">
        <f t="shared" si="1"/>
        <v>1</v>
      </c>
      <c r="J23" t="str">
        <f t="shared" si="2"/>
        <v>Level 1</v>
      </c>
      <c r="K23" t="str">
        <f t="shared" si="3"/>
        <v>Level 1</v>
      </c>
      <c r="L23" t="str">
        <f t="shared" si="4"/>
        <v>Level 3</v>
      </c>
      <c r="N23" t="s">
        <v>59</v>
      </c>
      <c r="O23" t="s">
        <v>62</v>
      </c>
      <c r="P23" t="s">
        <v>60</v>
      </c>
    </row>
    <row r="24" spans="1:16" x14ac:dyDescent="0.45">
      <c r="A24" t="s">
        <v>7</v>
      </c>
      <c r="B24" t="s">
        <v>8</v>
      </c>
      <c r="C24">
        <v>1</v>
      </c>
      <c r="D24" t="s">
        <v>5</v>
      </c>
      <c r="E24">
        <v>1</v>
      </c>
      <c r="F24" t="s">
        <v>3</v>
      </c>
      <c r="G24" t="s">
        <v>6</v>
      </c>
      <c r="H24" t="s">
        <v>4</v>
      </c>
      <c r="I24">
        <f t="shared" si="1"/>
        <v>1</v>
      </c>
      <c r="J24" t="str">
        <f t="shared" si="2"/>
        <v>Level 1</v>
      </c>
      <c r="K24" t="str">
        <f t="shared" si="3"/>
        <v>Level 2</v>
      </c>
      <c r="L24" t="str">
        <f t="shared" si="4"/>
        <v>Level 3</v>
      </c>
      <c r="N24" t="s">
        <v>59</v>
      </c>
      <c r="O24" t="s">
        <v>62</v>
      </c>
      <c r="P24" t="s">
        <v>60</v>
      </c>
    </row>
    <row r="25" spans="1:16" x14ac:dyDescent="0.45">
      <c r="A25" t="s">
        <v>7</v>
      </c>
      <c r="B25" t="s">
        <v>1</v>
      </c>
      <c r="C25">
        <v>1</v>
      </c>
      <c r="D25" t="s">
        <v>2</v>
      </c>
      <c r="E25">
        <v>5</v>
      </c>
      <c r="F25" t="s">
        <v>3</v>
      </c>
      <c r="G25" t="s">
        <v>3</v>
      </c>
      <c r="H25" t="s">
        <v>4</v>
      </c>
      <c r="I25">
        <f t="shared" si="1"/>
        <v>0</v>
      </c>
      <c r="J25" t="str">
        <f t="shared" si="2"/>
        <v>Level 1</v>
      </c>
      <c r="K25" t="str">
        <f t="shared" si="3"/>
        <v>Level 1</v>
      </c>
      <c r="L25" t="str">
        <f t="shared" si="4"/>
        <v>Level 3</v>
      </c>
      <c r="N25" t="s">
        <v>59</v>
      </c>
      <c r="O25" t="s">
        <v>62</v>
      </c>
      <c r="P25" t="s">
        <v>60</v>
      </c>
    </row>
    <row r="26" spans="1:16" x14ac:dyDescent="0.45">
      <c r="A26" t="s">
        <v>9</v>
      </c>
      <c r="B26" t="s">
        <v>8</v>
      </c>
      <c r="C26">
        <v>2</v>
      </c>
      <c r="D26" t="s">
        <v>5</v>
      </c>
      <c r="E26">
        <v>4</v>
      </c>
      <c r="F26" t="s">
        <v>3</v>
      </c>
      <c r="G26" t="s">
        <v>3</v>
      </c>
      <c r="H26" t="s">
        <v>4</v>
      </c>
      <c r="I26">
        <f t="shared" si="1"/>
        <v>1</v>
      </c>
      <c r="J26" t="str">
        <f t="shared" si="2"/>
        <v>Level 1</v>
      </c>
      <c r="K26" t="str">
        <f t="shared" si="3"/>
        <v>Level 1</v>
      </c>
      <c r="L26" t="str">
        <f t="shared" si="4"/>
        <v>Level 3</v>
      </c>
      <c r="N26" t="s">
        <v>59</v>
      </c>
      <c r="O26" t="s">
        <v>62</v>
      </c>
      <c r="P26" t="s">
        <v>60</v>
      </c>
    </row>
    <row r="27" spans="1:16" x14ac:dyDescent="0.45">
      <c r="A27" t="s">
        <v>0</v>
      </c>
      <c r="B27" t="s">
        <v>8</v>
      </c>
      <c r="C27">
        <v>1</v>
      </c>
      <c r="D27" t="s">
        <v>5</v>
      </c>
      <c r="E27">
        <v>4</v>
      </c>
      <c r="F27" t="s">
        <v>3</v>
      </c>
      <c r="G27" t="s">
        <v>6</v>
      </c>
      <c r="H27" t="s">
        <v>4</v>
      </c>
      <c r="I27">
        <f t="shared" si="1"/>
        <v>1</v>
      </c>
      <c r="J27" t="str">
        <f t="shared" si="2"/>
        <v>Level 1</v>
      </c>
      <c r="K27" t="str">
        <f t="shared" si="3"/>
        <v>Level 2</v>
      </c>
      <c r="L27" t="str">
        <f t="shared" si="4"/>
        <v>Level 3</v>
      </c>
      <c r="N27" t="s">
        <v>59</v>
      </c>
      <c r="O27" t="s">
        <v>62</v>
      </c>
      <c r="P27" t="s">
        <v>60</v>
      </c>
    </row>
    <row r="28" spans="1:16" x14ac:dyDescent="0.45">
      <c r="A28" t="s">
        <v>0</v>
      </c>
      <c r="B28" t="s">
        <v>8</v>
      </c>
      <c r="C28">
        <v>1</v>
      </c>
      <c r="D28" t="s">
        <v>2</v>
      </c>
      <c r="E28">
        <v>3</v>
      </c>
      <c r="F28" t="s">
        <v>6</v>
      </c>
      <c r="G28" t="s">
        <v>3</v>
      </c>
      <c r="H28" t="s">
        <v>4</v>
      </c>
      <c r="I28">
        <f t="shared" si="1"/>
        <v>0</v>
      </c>
      <c r="J28" t="str">
        <f t="shared" si="2"/>
        <v>Level 2</v>
      </c>
      <c r="K28" t="str">
        <f t="shared" si="3"/>
        <v>Level 1</v>
      </c>
      <c r="L28" t="str">
        <f t="shared" si="4"/>
        <v>Level 3</v>
      </c>
      <c r="N28" t="s">
        <v>59</v>
      </c>
      <c r="O28" t="s">
        <v>62</v>
      </c>
      <c r="P28" t="s">
        <v>60</v>
      </c>
    </row>
    <row r="29" spans="1:16" x14ac:dyDescent="0.45">
      <c r="A29" t="s">
        <v>7</v>
      </c>
      <c r="B29" t="s">
        <v>8</v>
      </c>
      <c r="C29">
        <v>1</v>
      </c>
      <c r="D29" t="s">
        <v>5</v>
      </c>
      <c r="E29">
        <v>5</v>
      </c>
      <c r="F29" t="s">
        <v>3</v>
      </c>
      <c r="G29" t="s">
        <v>6</v>
      </c>
      <c r="H29" t="s">
        <v>4</v>
      </c>
      <c r="I29">
        <f t="shared" si="1"/>
        <v>1</v>
      </c>
      <c r="J29" t="str">
        <f t="shared" si="2"/>
        <v>Level 1</v>
      </c>
      <c r="K29" t="str">
        <f t="shared" si="3"/>
        <v>Level 2</v>
      </c>
      <c r="L29" t="str">
        <f t="shared" si="4"/>
        <v>Level 3</v>
      </c>
      <c r="N29" t="s">
        <v>59</v>
      </c>
      <c r="O29" t="s">
        <v>62</v>
      </c>
      <c r="P29" t="s">
        <v>60</v>
      </c>
    </row>
    <row r="30" spans="1:16" x14ac:dyDescent="0.45">
      <c r="A30" t="s">
        <v>7</v>
      </c>
      <c r="B30" t="s">
        <v>1</v>
      </c>
      <c r="C30">
        <v>2</v>
      </c>
      <c r="D30" t="s">
        <v>5</v>
      </c>
      <c r="E30">
        <v>5</v>
      </c>
      <c r="F30" t="s">
        <v>3</v>
      </c>
      <c r="G30" t="s">
        <v>3</v>
      </c>
      <c r="H30" t="s">
        <v>4</v>
      </c>
      <c r="I30">
        <f t="shared" si="1"/>
        <v>1</v>
      </c>
      <c r="J30" t="str">
        <f t="shared" si="2"/>
        <v>Level 1</v>
      </c>
      <c r="K30" t="str">
        <f t="shared" si="3"/>
        <v>Level 1</v>
      </c>
      <c r="L30" t="str">
        <f t="shared" si="4"/>
        <v>Level 3</v>
      </c>
      <c r="N30" t="s">
        <v>59</v>
      </c>
      <c r="O30" t="s">
        <v>62</v>
      </c>
      <c r="P30" t="s">
        <v>60</v>
      </c>
    </row>
    <row r="31" spans="1:16" x14ac:dyDescent="0.45">
      <c r="A31" t="s">
        <v>9</v>
      </c>
      <c r="B31" t="s">
        <v>1</v>
      </c>
      <c r="C31">
        <v>1</v>
      </c>
      <c r="D31" t="s">
        <v>2</v>
      </c>
      <c r="E31">
        <v>5</v>
      </c>
      <c r="F31" t="s">
        <v>3</v>
      </c>
      <c r="G31" t="s">
        <v>6</v>
      </c>
      <c r="H31" t="s">
        <v>4</v>
      </c>
      <c r="I31">
        <f t="shared" si="1"/>
        <v>0</v>
      </c>
      <c r="J31" t="str">
        <f t="shared" si="2"/>
        <v>Level 1</v>
      </c>
      <c r="K31" t="str">
        <f t="shared" si="3"/>
        <v>Level 2</v>
      </c>
      <c r="L31" t="str">
        <f t="shared" si="4"/>
        <v>Level 3</v>
      </c>
      <c r="N31" t="s">
        <v>59</v>
      </c>
      <c r="O31" t="s">
        <v>62</v>
      </c>
      <c r="P31" t="s">
        <v>60</v>
      </c>
    </row>
    <row r="32" spans="1:16" x14ac:dyDescent="0.45">
      <c r="A32" t="s">
        <v>9</v>
      </c>
      <c r="B32" t="s">
        <v>1</v>
      </c>
      <c r="C32">
        <v>3</v>
      </c>
      <c r="D32" t="s">
        <v>5</v>
      </c>
      <c r="E32">
        <v>5</v>
      </c>
      <c r="F32" t="s">
        <v>3</v>
      </c>
      <c r="G32" t="s">
        <v>6</v>
      </c>
      <c r="H32" t="s">
        <v>4</v>
      </c>
      <c r="I32">
        <f t="shared" si="1"/>
        <v>1</v>
      </c>
      <c r="J32" t="str">
        <f t="shared" si="2"/>
        <v>Level 1</v>
      </c>
      <c r="K32" t="str">
        <f t="shared" si="3"/>
        <v>Level 2</v>
      </c>
      <c r="L32" t="str">
        <f t="shared" si="4"/>
        <v>Level 3</v>
      </c>
      <c r="N32" t="s">
        <v>59</v>
      </c>
      <c r="O32" t="s">
        <v>62</v>
      </c>
      <c r="P32" t="s">
        <v>60</v>
      </c>
    </row>
    <row r="33" spans="1:16" x14ac:dyDescent="0.45">
      <c r="A33" t="s">
        <v>10</v>
      </c>
      <c r="B33" t="s">
        <v>1</v>
      </c>
      <c r="C33">
        <v>3</v>
      </c>
      <c r="D33" t="s">
        <v>5</v>
      </c>
      <c r="E33">
        <v>5</v>
      </c>
      <c r="F33" t="s">
        <v>6</v>
      </c>
      <c r="G33" t="s">
        <v>3</v>
      </c>
      <c r="H33" t="s">
        <v>4</v>
      </c>
      <c r="I33">
        <f t="shared" si="1"/>
        <v>1</v>
      </c>
      <c r="J33" t="str">
        <f t="shared" si="2"/>
        <v>Level 2</v>
      </c>
      <c r="K33" t="str">
        <f t="shared" si="3"/>
        <v>Level 1</v>
      </c>
      <c r="L33" t="str">
        <f t="shared" si="4"/>
        <v>Level 3</v>
      </c>
      <c r="N33" t="s">
        <v>59</v>
      </c>
      <c r="O33" t="s">
        <v>62</v>
      </c>
      <c r="P33" t="s">
        <v>60</v>
      </c>
    </row>
    <row r="34" spans="1:16" x14ac:dyDescent="0.45">
      <c r="A34" t="s">
        <v>9</v>
      </c>
      <c r="B34" t="s">
        <v>8</v>
      </c>
      <c r="C34">
        <v>3</v>
      </c>
      <c r="D34" t="s">
        <v>5</v>
      </c>
      <c r="E34">
        <v>5</v>
      </c>
      <c r="F34" t="s">
        <v>6</v>
      </c>
      <c r="G34" t="s">
        <v>3</v>
      </c>
      <c r="H34" t="s">
        <v>4</v>
      </c>
      <c r="I34">
        <f t="shared" si="1"/>
        <v>1</v>
      </c>
      <c r="J34" t="str">
        <f t="shared" si="2"/>
        <v>Level 2</v>
      </c>
      <c r="K34" t="str">
        <f t="shared" si="3"/>
        <v>Level 1</v>
      </c>
      <c r="L34" t="str">
        <f t="shared" si="4"/>
        <v>Level 3</v>
      </c>
      <c r="N34" t="s">
        <v>59</v>
      </c>
      <c r="O34" t="s">
        <v>62</v>
      </c>
      <c r="P34" t="s">
        <v>60</v>
      </c>
    </row>
    <row r="35" spans="1:16" x14ac:dyDescent="0.45">
      <c r="A35" t="s">
        <v>9</v>
      </c>
      <c r="B35" t="s">
        <v>1</v>
      </c>
      <c r="C35">
        <v>3</v>
      </c>
      <c r="D35" t="s">
        <v>5</v>
      </c>
      <c r="E35">
        <v>4</v>
      </c>
      <c r="F35" t="s">
        <v>3</v>
      </c>
      <c r="G35" t="s">
        <v>6</v>
      </c>
      <c r="H35" t="s">
        <v>4</v>
      </c>
      <c r="I35">
        <f t="shared" si="1"/>
        <v>1</v>
      </c>
      <c r="J35" t="str">
        <f t="shared" si="2"/>
        <v>Level 1</v>
      </c>
      <c r="K35" t="str">
        <f t="shared" si="3"/>
        <v>Level 2</v>
      </c>
      <c r="L35" t="str">
        <f t="shared" si="4"/>
        <v>Level 3</v>
      </c>
      <c r="N35" t="s">
        <v>59</v>
      </c>
      <c r="O35" t="s">
        <v>62</v>
      </c>
      <c r="P35" t="s">
        <v>60</v>
      </c>
    </row>
    <row r="36" spans="1:16" x14ac:dyDescent="0.45">
      <c r="A36" t="s">
        <v>0</v>
      </c>
      <c r="B36" t="s">
        <v>8</v>
      </c>
      <c r="C36">
        <v>2</v>
      </c>
      <c r="D36" t="s">
        <v>29</v>
      </c>
      <c r="E36">
        <v>3</v>
      </c>
      <c r="F36" t="s">
        <v>30</v>
      </c>
      <c r="G36" t="s">
        <v>31</v>
      </c>
      <c r="H36" t="s">
        <v>32</v>
      </c>
      <c r="I36">
        <f>IF(D36="Anticipation",1,0)</f>
        <v>1</v>
      </c>
      <c r="J36" t="str">
        <f t="shared" si="2"/>
        <v>Level 2</v>
      </c>
      <c r="K36" t="str">
        <f t="shared" si="3"/>
        <v>Level 3</v>
      </c>
      <c r="L36" t="str">
        <f t="shared" si="4"/>
        <v>Level 1</v>
      </c>
      <c r="N36" t="s">
        <v>61</v>
      </c>
      <c r="O36" t="s">
        <v>60</v>
      </c>
      <c r="P36" t="s">
        <v>59</v>
      </c>
    </row>
    <row r="37" spans="1:16" x14ac:dyDescent="0.45">
      <c r="A37" t="s">
        <v>0</v>
      </c>
      <c r="B37" t="s">
        <v>8</v>
      </c>
      <c r="C37">
        <v>4</v>
      </c>
      <c r="D37" t="s">
        <v>29</v>
      </c>
      <c r="E37">
        <v>5</v>
      </c>
      <c r="F37" t="s">
        <v>30</v>
      </c>
      <c r="G37" t="s">
        <v>31</v>
      </c>
      <c r="H37" t="s">
        <v>32</v>
      </c>
      <c r="I37">
        <f t="shared" ref="I37:I70" si="5">IF(D37="Anticipation",1,0)</f>
        <v>1</v>
      </c>
      <c r="J37" t="str">
        <f t="shared" si="2"/>
        <v>Level 2</v>
      </c>
      <c r="K37" t="str">
        <f t="shared" si="3"/>
        <v>Level 3</v>
      </c>
      <c r="L37" t="str">
        <f t="shared" si="4"/>
        <v>Level 1</v>
      </c>
      <c r="N37" t="s">
        <v>61</v>
      </c>
      <c r="O37" t="s">
        <v>60</v>
      </c>
      <c r="P37" t="s">
        <v>59</v>
      </c>
    </row>
    <row r="38" spans="1:16" x14ac:dyDescent="0.45">
      <c r="A38" t="s">
        <v>7</v>
      </c>
      <c r="B38" t="s">
        <v>8</v>
      </c>
      <c r="C38">
        <v>4</v>
      </c>
      <c r="D38" t="s">
        <v>33</v>
      </c>
      <c r="E38">
        <v>5</v>
      </c>
      <c r="F38" t="s">
        <v>30</v>
      </c>
      <c r="G38" t="s">
        <v>31</v>
      </c>
      <c r="H38" t="s">
        <v>32</v>
      </c>
      <c r="I38">
        <f t="shared" si="5"/>
        <v>0</v>
      </c>
      <c r="J38" t="str">
        <f t="shared" si="2"/>
        <v>Level 2</v>
      </c>
      <c r="K38" t="str">
        <f t="shared" si="3"/>
        <v>Level 3</v>
      </c>
      <c r="L38" t="str">
        <f t="shared" si="4"/>
        <v>Level 1</v>
      </c>
      <c r="N38" t="s">
        <v>61</v>
      </c>
      <c r="O38" t="s">
        <v>60</v>
      </c>
      <c r="P38" t="s">
        <v>59</v>
      </c>
    </row>
    <row r="39" spans="1:16" x14ac:dyDescent="0.45">
      <c r="A39" t="s">
        <v>0</v>
      </c>
      <c r="B39" t="s">
        <v>1</v>
      </c>
      <c r="C39">
        <v>2</v>
      </c>
      <c r="D39" t="s">
        <v>29</v>
      </c>
      <c r="E39">
        <v>4</v>
      </c>
      <c r="F39" t="s">
        <v>30</v>
      </c>
      <c r="G39" t="s">
        <v>31</v>
      </c>
      <c r="H39" t="s">
        <v>32</v>
      </c>
      <c r="I39">
        <f t="shared" si="5"/>
        <v>1</v>
      </c>
      <c r="J39" t="str">
        <f t="shared" si="2"/>
        <v>Level 2</v>
      </c>
      <c r="K39" t="str">
        <f t="shared" si="3"/>
        <v>Level 3</v>
      </c>
      <c r="L39" t="str">
        <f t="shared" si="4"/>
        <v>Level 1</v>
      </c>
      <c r="N39" t="s">
        <v>61</v>
      </c>
      <c r="O39" t="s">
        <v>60</v>
      </c>
      <c r="P39" t="s">
        <v>59</v>
      </c>
    </row>
    <row r="40" spans="1:16" x14ac:dyDescent="0.45">
      <c r="A40" t="s">
        <v>7</v>
      </c>
      <c r="B40" t="s">
        <v>1</v>
      </c>
      <c r="C40">
        <v>3</v>
      </c>
      <c r="D40" t="s">
        <v>33</v>
      </c>
      <c r="E40">
        <v>4</v>
      </c>
      <c r="F40" t="s">
        <v>30</v>
      </c>
      <c r="G40" t="s">
        <v>31</v>
      </c>
      <c r="H40" t="s">
        <v>32</v>
      </c>
      <c r="I40">
        <f t="shared" si="5"/>
        <v>0</v>
      </c>
      <c r="J40" t="str">
        <f t="shared" si="2"/>
        <v>Level 2</v>
      </c>
      <c r="K40" t="str">
        <f t="shared" si="3"/>
        <v>Level 3</v>
      </c>
      <c r="L40" t="str">
        <f t="shared" si="4"/>
        <v>Level 1</v>
      </c>
      <c r="N40" t="s">
        <v>61</v>
      </c>
      <c r="O40" t="s">
        <v>60</v>
      </c>
      <c r="P40" t="s">
        <v>59</v>
      </c>
    </row>
    <row r="41" spans="1:16" x14ac:dyDescent="0.45">
      <c r="A41" t="s">
        <v>7</v>
      </c>
      <c r="B41" t="s">
        <v>1</v>
      </c>
      <c r="C41">
        <v>3</v>
      </c>
      <c r="D41" t="s">
        <v>29</v>
      </c>
      <c r="E41">
        <v>5</v>
      </c>
      <c r="F41" t="s">
        <v>30</v>
      </c>
      <c r="G41" t="s">
        <v>31</v>
      </c>
      <c r="H41" t="s">
        <v>32</v>
      </c>
      <c r="I41">
        <f t="shared" si="5"/>
        <v>1</v>
      </c>
      <c r="J41" t="str">
        <f t="shared" si="2"/>
        <v>Level 2</v>
      </c>
      <c r="K41" t="str">
        <f t="shared" si="3"/>
        <v>Level 3</v>
      </c>
      <c r="L41" t="str">
        <f t="shared" si="4"/>
        <v>Level 1</v>
      </c>
      <c r="N41" t="s">
        <v>61</v>
      </c>
      <c r="O41" t="s">
        <v>60</v>
      </c>
      <c r="P41" t="s">
        <v>59</v>
      </c>
    </row>
    <row r="42" spans="1:16" x14ac:dyDescent="0.45">
      <c r="A42" t="s">
        <v>9</v>
      </c>
      <c r="B42" t="s">
        <v>1</v>
      </c>
      <c r="C42">
        <v>3</v>
      </c>
      <c r="D42" t="s">
        <v>33</v>
      </c>
      <c r="E42">
        <v>5</v>
      </c>
      <c r="F42" t="s">
        <v>30</v>
      </c>
      <c r="G42" t="s">
        <v>31</v>
      </c>
      <c r="H42" t="s">
        <v>32</v>
      </c>
      <c r="I42">
        <f t="shared" si="5"/>
        <v>0</v>
      </c>
      <c r="J42" t="str">
        <f t="shared" si="2"/>
        <v>Level 2</v>
      </c>
      <c r="K42" t="str">
        <f t="shared" si="3"/>
        <v>Level 3</v>
      </c>
      <c r="L42" t="str">
        <f t="shared" si="4"/>
        <v>Level 1</v>
      </c>
      <c r="N42" t="s">
        <v>61</v>
      </c>
      <c r="O42" t="s">
        <v>60</v>
      </c>
      <c r="P42" t="s">
        <v>59</v>
      </c>
    </row>
    <row r="43" spans="1:16" x14ac:dyDescent="0.45">
      <c r="A43" t="s">
        <v>9</v>
      </c>
      <c r="B43" t="s">
        <v>1</v>
      </c>
      <c r="C43">
        <v>4</v>
      </c>
      <c r="D43" t="s">
        <v>33</v>
      </c>
      <c r="E43">
        <v>4</v>
      </c>
      <c r="F43" t="s">
        <v>30</v>
      </c>
      <c r="G43" t="s">
        <v>31</v>
      </c>
      <c r="H43" t="s">
        <v>32</v>
      </c>
      <c r="I43">
        <f t="shared" si="5"/>
        <v>0</v>
      </c>
      <c r="J43" t="str">
        <f t="shared" si="2"/>
        <v>Level 2</v>
      </c>
      <c r="K43" t="str">
        <f t="shared" si="3"/>
        <v>Level 3</v>
      </c>
      <c r="L43" t="str">
        <f t="shared" si="4"/>
        <v>Level 1</v>
      </c>
      <c r="N43" t="s">
        <v>61</v>
      </c>
      <c r="O43" t="s">
        <v>60</v>
      </c>
      <c r="P43" t="s">
        <v>59</v>
      </c>
    </row>
    <row r="44" spans="1:16" x14ac:dyDescent="0.45">
      <c r="A44" t="s">
        <v>0</v>
      </c>
      <c r="B44" t="s">
        <v>8</v>
      </c>
      <c r="C44">
        <v>4</v>
      </c>
      <c r="D44" t="s">
        <v>33</v>
      </c>
      <c r="E44">
        <v>3</v>
      </c>
      <c r="F44" t="s">
        <v>30</v>
      </c>
      <c r="G44" t="s">
        <v>31</v>
      </c>
      <c r="H44" t="s">
        <v>32</v>
      </c>
      <c r="I44">
        <f t="shared" si="5"/>
        <v>0</v>
      </c>
      <c r="J44" t="str">
        <f t="shared" si="2"/>
        <v>Level 2</v>
      </c>
      <c r="K44" t="str">
        <f t="shared" si="3"/>
        <v>Level 3</v>
      </c>
      <c r="L44" t="str">
        <f t="shared" si="4"/>
        <v>Level 1</v>
      </c>
      <c r="N44" t="s">
        <v>61</v>
      </c>
      <c r="O44" t="s">
        <v>60</v>
      </c>
      <c r="P44" t="s">
        <v>59</v>
      </c>
    </row>
    <row r="45" spans="1:16" x14ac:dyDescent="0.45">
      <c r="A45" t="s">
        <v>0</v>
      </c>
      <c r="B45" t="s">
        <v>1</v>
      </c>
      <c r="C45">
        <v>3</v>
      </c>
      <c r="D45" t="s">
        <v>33</v>
      </c>
      <c r="E45">
        <v>2</v>
      </c>
      <c r="F45" t="s">
        <v>31</v>
      </c>
      <c r="G45" t="s">
        <v>30</v>
      </c>
      <c r="H45" t="s">
        <v>32</v>
      </c>
      <c r="I45">
        <f t="shared" si="5"/>
        <v>0</v>
      </c>
      <c r="J45" t="str">
        <f t="shared" si="2"/>
        <v>Level 3</v>
      </c>
      <c r="K45" t="str">
        <f t="shared" si="3"/>
        <v>Level 2</v>
      </c>
      <c r="L45" t="str">
        <f t="shared" si="4"/>
        <v>Level 1</v>
      </c>
      <c r="N45" t="s">
        <v>61</v>
      </c>
      <c r="O45" t="s">
        <v>60</v>
      </c>
      <c r="P45" t="s">
        <v>59</v>
      </c>
    </row>
    <row r="46" spans="1:16" x14ac:dyDescent="0.45">
      <c r="A46" t="s">
        <v>9</v>
      </c>
      <c r="B46" t="s">
        <v>8</v>
      </c>
      <c r="C46">
        <v>2</v>
      </c>
      <c r="D46" t="s">
        <v>34</v>
      </c>
      <c r="E46">
        <v>2</v>
      </c>
      <c r="F46" t="s">
        <v>30</v>
      </c>
      <c r="G46" t="s">
        <v>30</v>
      </c>
      <c r="H46" t="s">
        <v>32</v>
      </c>
      <c r="I46">
        <f t="shared" si="5"/>
        <v>0</v>
      </c>
      <c r="J46" t="str">
        <f t="shared" si="2"/>
        <v>Level 2</v>
      </c>
      <c r="K46" t="str">
        <f t="shared" si="3"/>
        <v>Level 2</v>
      </c>
      <c r="L46" t="str">
        <f t="shared" si="4"/>
        <v>Level 1</v>
      </c>
      <c r="N46" t="s">
        <v>61</v>
      </c>
      <c r="O46" t="s">
        <v>60</v>
      </c>
      <c r="P46" t="s">
        <v>59</v>
      </c>
    </row>
    <row r="47" spans="1:16" x14ac:dyDescent="0.45">
      <c r="A47" t="s">
        <v>0</v>
      </c>
      <c r="B47" t="s">
        <v>1</v>
      </c>
      <c r="C47">
        <v>1</v>
      </c>
      <c r="D47" t="s">
        <v>33</v>
      </c>
      <c r="E47">
        <v>5</v>
      </c>
      <c r="F47" t="s">
        <v>30</v>
      </c>
      <c r="G47" t="s">
        <v>31</v>
      </c>
      <c r="H47" t="s">
        <v>32</v>
      </c>
      <c r="I47">
        <f t="shared" si="5"/>
        <v>0</v>
      </c>
      <c r="J47" t="str">
        <f t="shared" si="2"/>
        <v>Level 2</v>
      </c>
      <c r="K47" t="str">
        <f t="shared" si="3"/>
        <v>Level 3</v>
      </c>
      <c r="L47" t="str">
        <f t="shared" si="4"/>
        <v>Level 1</v>
      </c>
      <c r="N47" t="s">
        <v>61</v>
      </c>
      <c r="O47" t="s">
        <v>60</v>
      </c>
      <c r="P47" t="s">
        <v>59</v>
      </c>
    </row>
    <row r="48" spans="1:16" x14ac:dyDescent="0.45">
      <c r="A48" t="s">
        <v>35</v>
      </c>
      <c r="B48" t="s">
        <v>1</v>
      </c>
      <c r="C48">
        <v>1</v>
      </c>
      <c r="D48" t="s">
        <v>33</v>
      </c>
      <c r="E48">
        <v>5</v>
      </c>
      <c r="F48" t="s">
        <v>30</v>
      </c>
      <c r="G48" t="s">
        <v>31</v>
      </c>
      <c r="H48" t="s">
        <v>32</v>
      </c>
      <c r="I48">
        <f t="shared" si="5"/>
        <v>0</v>
      </c>
      <c r="J48" t="str">
        <f t="shared" si="2"/>
        <v>Level 2</v>
      </c>
      <c r="K48" t="str">
        <f t="shared" si="3"/>
        <v>Level 3</v>
      </c>
      <c r="L48" t="str">
        <f t="shared" si="4"/>
        <v>Level 1</v>
      </c>
      <c r="N48" t="s">
        <v>61</v>
      </c>
      <c r="O48" t="s">
        <v>60</v>
      </c>
      <c r="P48" t="s">
        <v>59</v>
      </c>
    </row>
    <row r="49" spans="1:16" x14ac:dyDescent="0.45">
      <c r="A49" t="s">
        <v>9</v>
      </c>
      <c r="B49" t="s">
        <v>1</v>
      </c>
      <c r="C49">
        <v>5</v>
      </c>
      <c r="D49" t="s">
        <v>11</v>
      </c>
      <c r="E49">
        <v>3</v>
      </c>
      <c r="F49" t="s">
        <v>30</v>
      </c>
      <c r="G49" t="s">
        <v>31</v>
      </c>
      <c r="H49" t="s">
        <v>32</v>
      </c>
      <c r="I49">
        <f t="shared" si="5"/>
        <v>0</v>
      </c>
      <c r="J49" t="str">
        <f t="shared" si="2"/>
        <v>Level 2</v>
      </c>
      <c r="K49" t="str">
        <f t="shared" si="3"/>
        <v>Level 3</v>
      </c>
      <c r="L49" t="str">
        <f t="shared" si="4"/>
        <v>Level 1</v>
      </c>
      <c r="N49" t="s">
        <v>61</v>
      </c>
      <c r="O49" t="s">
        <v>60</v>
      </c>
      <c r="P49" t="s">
        <v>59</v>
      </c>
    </row>
    <row r="50" spans="1:16" x14ac:dyDescent="0.45">
      <c r="A50" t="s">
        <v>9</v>
      </c>
      <c r="B50" t="s">
        <v>8</v>
      </c>
      <c r="C50">
        <v>2</v>
      </c>
      <c r="D50" t="s">
        <v>29</v>
      </c>
      <c r="E50">
        <v>4</v>
      </c>
      <c r="F50" t="s">
        <v>30</v>
      </c>
      <c r="G50" t="s">
        <v>31</v>
      </c>
      <c r="H50" t="s">
        <v>32</v>
      </c>
      <c r="I50">
        <f t="shared" si="5"/>
        <v>1</v>
      </c>
      <c r="J50" t="str">
        <f t="shared" si="2"/>
        <v>Level 2</v>
      </c>
      <c r="K50" t="str">
        <f t="shared" si="3"/>
        <v>Level 3</v>
      </c>
      <c r="L50" t="str">
        <f t="shared" si="4"/>
        <v>Level 1</v>
      </c>
      <c r="N50" t="s">
        <v>61</v>
      </c>
      <c r="O50" t="s">
        <v>60</v>
      </c>
      <c r="P50" t="s">
        <v>59</v>
      </c>
    </row>
    <row r="51" spans="1:16" x14ac:dyDescent="0.45">
      <c r="A51" t="s">
        <v>0</v>
      </c>
      <c r="B51" t="s">
        <v>8</v>
      </c>
      <c r="C51">
        <v>3</v>
      </c>
      <c r="D51" t="s">
        <v>33</v>
      </c>
      <c r="E51">
        <v>2</v>
      </c>
      <c r="F51" t="s">
        <v>30</v>
      </c>
      <c r="G51" t="s">
        <v>31</v>
      </c>
      <c r="H51" t="s">
        <v>32</v>
      </c>
      <c r="I51">
        <f t="shared" si="5"/>
        <v>0</v>
      </c>
      <c r="J51" t="str">
        <f t="shared" si="2"/>
        <v>Level 2</v>
      </c>
      <c r="K51" t="str">
        <f t="shared" si="3"/>
        <v>Level 3</v>
      </c>
      <c r="L51" t="str">
        <f t="shared" si="4"/>
        <v>Level 1</v>
      </c>
      <c r="N51" t="s">
        <v>61</v>
      </c>
      <c r="O51" t="s">
        <v>60</v>
      </c>
      <c r="P51" t="s">
        <v>59</v>
      </c>
    </row>
    <row r="52" spans="1:16" x14ac:dyDescent="0.45">
      <c r="A52" t="s">
        <v>0</v>
      </c>
      <c r="B52" t="s">
        <v>1</v>
      </c>
      <c r="C52">
        <v>3</v>
      </c>
      <c r="D52" t="s">
        <v>29</v>
      </c>
      <c r="E52">
        <v>5</v>
      </c>
      <c r="F52" t="s">
        <v>30</v>
      </c>
      <c r="G52" t="s">
        <v>31</v>
      </c>
      <c r="H52" t="s">
        <v>32</v>
      </c>
      <c r="I52">
        <f t="shared" si="5"/>
        <v>1</v>
      </c>
      <c r="J52" t="str">
        <f t="shared" si="2"/>
        <v>Level 2</v>
      </c>
      <c r="K52" t="str">
        <f t="shared" si="3"/>
        <v>Level 3</v>
      </c>
      <c r="L52" t="str">
        <f t="shared" si="4"/>
        <v>Level 1</v>
      </c>
      <c r="N52" t="s">
        <v>61</v>
      </c>
      <c r="O52" t="s">
        <v>60</v>
      </c>
      <c r="P52" t="s">
        <v>59</v>
      </c>
    </row>
    <row r="53" spans="1:16" x14ac:dyDescent="0.45">
      <c r="A53" t="s">
        <v>9</v>
      </c>
      <c r="B53" t="s">
        <v>1</v>
      </c>
      <c r="C53">
        <v>5</v>
      </c>
      <c r="D53" t="s">
        <v>29</v>
      </c>
      <c r="E53">
        <v>4</v>
      </c>
      <c r="F53" t="s">
        <v>30</v>
      </c>
      <c r="G53" t="s">
        <v>31</v>
      </c>
      <c r="H53" t="s">
        <v>32</v>
      </c>
      <c r="I53">
        <f t="shared" si="5"/>
        <v>1</v>
      </c>
      <c r="J53" t="str">
        <f t="shared" si="2"/>
        <v>Level 2</v>
      </c>
      <c r="K53" t="str">
        <f t="shared" si="3"/>
        <v>Level 3</v>
      </c>
      <c r="L53" t="str">
        <f t="shared" si="4"/>
        <v>Level 1</v>
      </c>
      <c r="N53" t="s">
        <v>61</v>
      </c>
      <c r="O53" t="s">
        <v>60</v>
      </c>
      <c r="P53" t="s">
        <v>59</v>
      </c>
    </row>
    <row r="54" spans="1:16" x14ac:dyDescent="0.45">
      <c r="A54" t="s">
        <v>7</v>
      </c>
      <c r="B54" t="s">
        <v>1</v>
      </c>
      <c r="C54">
        <v>4</v>
      </c>
      <c r="D54" t="s">
        <v>33</v>
      </c>
      <c r="E54">
        <v>5</v>
      </c>
      <c r="F54" t="s">
        <v>30</v>
      </c>
      <c r="G54" t="s">
        <v>31</v>
      </c>
      <c r="H54" t="s">
        <v>32</v>
      </c>
      <c r="I54">
        <f t="shared" si="5"/>
        <v>0</v>
      </c>
      <c r="J54" t="str">
        <f t="shared" si="2"/>
        <v>Level 2</v>
      </c>
      <c r="K54" t="str">
        <f t="shared" si="3"/>
        <v>Level 3</v>
      </c>
      <c r="L54" t="str">
        <f t="shared" si="4"/>
        <v>Level 1</v>
      </c>
      <c r="N54" t="s">
        <v>61</v>
      </c>
      <c r="O54" t="s">
        <v>60</v>
      </c>
      <c r="P54" t="s">
        <v>59</v>
      </c>
    </row>
    <row r="55" spans="1:16" x14ac:dyDescent="0.45">
      <c r="A55" t="s">
        <v>35</v>
      </c>
      <c r="B55" t="s">
        <v>8</v>
      </c>
      <c r="C55">
        <v>2</v>
      </c>
      <c r="D55" t="s">
        <v>33</v>
      </c>
      <c r="E55">
        <v>4</v>
      </c>
      <c r="F55" t="s">
        <v>31</v>
      </c>
      <c r="G55" t="s">
        <v>31</v>
      </c>
      <c r="H55" t="s">
        <v>32</v>
      </c>
      <c r="I55">
        <f t="shared" si="5"/>
        <v>0</v>
      </c>
      <c r="J55" t="str">
        <f t="shared" si="2"/>
        <v>Level 3</v>
      </c>
      <c r="K55" t="str">
        <f t="shared" si="3"/>
        <v>Level 3</v>
      </c>
      <c r="L55" t="str">
        <f t="shared" si="4"/>
        <v>Level 1</v>
      </c>
      <c r="N55" t="s">
        <v>61</v>
      </c>
      <c r="O55" t="s">
        <v>60</v>
      </c>
      <c r="P55" t="s">
        <v>59</v>
      </c>
    </row>
    <row r="56" spans="1:16" x14ac:dyDescent="0.45">
      <c r="A56" t="s">
        <v>35</v>
      </c>
      <c r="B56" t="s">
        <v>8</v>
      </c>
      <c r="C56">
        <v>5</v>
      </c>
      <c r="D56" t="s">
        <v>33</v>
      </c>
      <c r="E56">
        <v>4</v>
      </c>
      <c r="F56" t="s">
        <v>30</v>
      </c>
      <c r="G56" t="s">
        <v>31</v>
      </c>
      <c r="H56" t="s">
        <v>32</v>
      </c>
      <c r="I56">
        <f t="shared" si="5"/>
        <v>0</v>
      </c>
      <c r="J56" t="str">
        <f t="shared" si="2"/>
        <v>Level 2</v>
      </c>
      <c r="K56" t="str">
        <f t="shared" si="3"/>
        <v>Level 3</v>
      </c>
      <c r="L56" t="str">
        <f t="shared" si="4"/>
        <v>Level 1</v>
      </c>
      <c r="N56" t="s">
        <v>61</v>
      </c>
      <c r="O56" t="s">
        <v>60</v>
      </c>
      <c r="P56" t="s">
        <v>59</v>
      </c>
    </row>
    <row r="57" spans="1:16" x14ac:dyDescent="0.45">
      <c r="A57" t="s">
        <v>7</v>
      </c>
      <c r="B57" t="s">
        <v>8</v>
      </c>
      <c r="C57">
        <v>1</v>
      </c>
      <c r="D57" t="s">
        <v>33</v>
      </c>
      <c r="E57">
        <v>5</v>
      </c>
      <c r="F57" t="s">
        <v>31</v>
      </c>
      <c r="G57" t="s">
        <v>30</v>
      </c>
      <c r="H57" t="s">
        <v>32</v>
      </c>
      <c r="I57">
        <f t="shared" si="5"/>
        <v>0</v>
      </c>
      <c r="J57" t="str">
        <f t="shared" si="2"/>
        <v>Level 3</v>
      </c>
      <c r="K57" t="str">
        <f t="shared" si="3"/>
        <v>Level 2</v>
      </c>
      <c r="L57" t="str">
        <f t="shared" si="4"/>
        <v>Level 1</v>
      </c>
      <c r="N57" t="s">
        <v>61</v>
      </c>
      <c r="O57" t="s">
        <v>60</v>
      </c>
      <c r="P57" t="s">
        <v>59</v>
      </c>
    </row>
    <row r="58" spans="1:16" x14ac:dyDescent="0.45">
      <c r="A58" t="s">
        <v>7</v>
      </c>
      <c r="B58" t="s">
        <v>8</v>
      </c>
      <c r="C58">
        <v>1</v>
      </c>
      <c r="D58" t="s">
        <v>29</v>
      </c>
      <c r="E58">
        <v>5</v>
      </c>
      <c r="F58" t="s">
        <v>11</v>
      </c>
      <c r="G58" t="s">
        <v>31</v>
      </c>
      <c r="H58" t="s">
        <v>32</v>
      </c>
      <c r="I58">
        <f t="shared" si="5"/>
        <v>1</v>
      </c>
      <c r="J58" t="str">
        <f t="shared" si="2"/>
        <v>None of</v>
      </c>
      <c r="K58" t="str">
        <f t="shared" si="3"/>
        <v>Level 3</v>
      </c>
      <c r="L58" t="str">
        <f t="shared" si="4"/>
        <v>Level 1</v>
      </c>
      <c r="N58" t="s">
        <v>61</v>
      </c>
      <c r="O58" t="s">
        <v>60</v>
      </c>
      <c r="P58" t="s">
        <v>59</v>
      </c>
    </row>
    <row r="59" spans="1:16" x14ac:dyDescent="0.45">
      <c r="A59" t="s">
        <v>7</v>
      </c>
      <c r="B59" t="s">
        <v>8</v>
      </c>
      <c r="C59">
        <v>1</v>
      </c>
      <c r="D59" t="s">
        <v>33</v>
      </c>
      <c r="E59">
        <v>5</v>
      </c>
      <c r="F59" t="s">
        <v>11</v>
      </c>
      <c r="G59" t="s">
        <v>31</v>
      </c>
      <c r="H59" t="s">
        <v>32</v>
      </c>
      <c r="I59">
        <f t="shared" si="5"/>
        <v>0</v>
      </c>
      <c r="J59" t="str">
        <f t="shared" si="2"/>
        <v>None of</v>
      </c>
      <c r="K59" t="str">
        <f t="shared" si="3"/>
        <v>Level 3</v>
      </c>
      <c r="L59" t="str">
        <f t="shared" si="4"/>
        <v>Level 1</v>
      </c>
      <c r="N59" t="s">
        <v>61</v>
      </c>
      <c r="O59" t="s">
        <v>60</v>
      </c>
      <c r="P59" t="s">
        <v>59</v>
      </c>
    </row>
    <row r="60" spans="1:16" x14ac:dyDescent="0.45">
      <c r="A60" t="s">
        <v>7</v>
      </c>
      <c r="B60" t="s">
        <v>1</v>
      </c>
      <c r="C60">
        <v>1</v>
      </c>
      <c r="D60" t="s">
        <v>36</v>
      </c>
      <c r="E60">
        <v>5</v>
      </c>
      <c r="F60" t="s">
        <v>31</v>
      </c>
      <c r="G60" t="s">
        <v>30</v>
      </c>
      <c r="H60" t="s">
        <v>32</v>
      </c>
      <c r="I60">
        <f t="shared" si="5"/>
        <v>0</v>
      </c>
      <c r="J60" t="str">
        <f t="shared" si="2"/>
        <v>Level 3</v>
      </c>
      <c r="K60" t="str">
        <f t="shared" si="3"/>
        <v>Level 2</v>
      </c>
      <c r="L60" t="str">
        <f t="shared" si="4"/>
        <v>Level 1</v>
      </c>
      <c r="N60" t="s">
        <v>61</v>
      </c>
      <c r="O60" t="s">
        <v>60</v>
      </c>
      <c r="P60" t="s">
        <v>59</v>
      </c>
    </row>
    <row r="61" spans="1:16" x14ac:dyDescent="0.45">
      <c r="A61" t="s">
        <v>7</v>
      </c>
      <c r="B61" t="s">
        <v>1</v>
      </c>
      <c r="C61">
        <v>1</v>
      </c>
      <c r="D61" t="s">
        <v>29</v>
      </c>
      <c r="E61">
        <v>3</v>
      </c>
      <c r="F61" t="s">
        <v>31</v>
      </c>
      <c r="G61" t="s">
        <v>31</v>
      </c>
      <c r="H61" t="s">
        <v>32</v>
      </c>
      <c r="I61">
        <f t="shared" si="5"/>
        <v>1</v>
      </c>
      <c r="J61" t="str">
        <f t="shared" si="2"/>
        <v>Level 3</v>
      </c>
      <c r="K61" t="str">
        <f t="shared" si="3"/>
        <v>Level 3</v>
      </c>
      <c r="L61" t="str">
        <f t="shared" si="4"/>
        <v>Level 1</v>
      </c>
      <c r="N61" t="s">
        <v>61</v>
      </c>
      <c r="O61" t="s">
        <v>60</v>
      </c>
      <c r="P61" t="s">
        <v>59</v>
      </c>
    </row>
    <row r="62" spans="1:16" x14ac:dyDescent="0.45">
      <c r="A62" t="s">
        <v>7</v>
      </c>
      <c r="B62" t="s">
        <v>1</v>
      </c>
      <c r="C62">
        <v>2</v>
      </c>
      <c r="D62" t="s">
        <v>33</v>
      </c>
      <c r="E62">
        <v>3</v>
      </c>
      <c r="F62" t="s">
        <v>31</v>
      </c>
      <c r="G62" t="s">
        <v>31</v>
      </c>
      <c r="H62" t="s">
        <v>32</v>
      </c>
      <c r="I62">
        <f t="shared" si="5"/>
        <v>0</v>
      </c>
      <c r="J62" t="str">
        <f t="shared" si="2"/>
        <v>Level 3</v>
      </c>
      <c r="K62" t="str">
        <f t="shared" si="3"/>
        <v>Level 3</v>
      </c>
      <c r="L62" t="str">
        <f t="shared" si="4"/>
        <v>Level 1</v>
      </c>
      <c r="N62" t="s">
        <v>61</v>
      </c>
      <c r="O62" t="s">
        <v>60</v>
      </c>
      <c r="P62" t="s">
        <v>59</v>
      </c>
    </row>
    <row r="63" spans="1:16" x14ac:dyDescent="0.45">
      <c r="A63" t="s">
        <v>9</v>
      </c>
      <c r="B63" t="s">
        <v>8</v>
      </c>
      <c r="C63">
        <v>2</v>
      </c>
      <c r="D63" t="s">
        <v>29</v>
      </c>
      <c r="E63">
        <v>5</v>
      </c>
      <c r="F63" t="s">
        <v>30</v>
      </c>
      <c r="G63" t="s">
        <v>31</v>
      </c>
      <c r="H63" t="s">
        <v>32</v>
      </c>
      <c r="I63">
        <f t="shared" si="5"/>
        <v>1</v>
      </c>
      <c r="J63" t="str">
        <f t="shared" si="2"/>
        <v>Level 2</v>
      </c>
      <c r="K63" t="str">
        <f t="shared" si="3"/>
        <v>Level 3</v>
      </c>
      <c r="L63" t="str">
        <f t="shared" si="4"/>
        <v>Level 1</v>
      </c>
      <c r="N63" t="s">
        <v>61</v>
      </c>
      <c r="O63" t="s">
        <v>60</v>
      </c>
      <c r="P63" t="s">
        <v>59</v>
      </c>
    </row>
    <row r="64" spans="1:16" x14ac:dyDescent="0.45">
      <c r="A64" t="s">
        <v>9</v>
      </c>
      <c r="B64" t="s">
        <v>1</v>
      </c>
      <c r="C64">
        <v>1</v>
      </c>
      <c r="D64" t="s">
        <v>29</v>
      </c>
      <c r="E64">
        <v>4</v>
      </c>
      <c r="F64" t="s">
        <v>30</v>
      </c>
      <c r="G64" t="s">
        <v>31</v>
      </c>
      <c r="H64" t="s">
        <v>32</v>
      </c>
      <c r="I64">
        <f t="shared" si="5"/>
        <v>1</v>
      </c>
      <c r="J64" t="str">
        <f t="shared" si="2"/>
        <v>Level 2</v>
      </c>
      <c r="K64" t="str">
        <f t="shared" si="3"/>
        <v>Level 3</v>
      </c>
      <c r="L64" t="str">
        <f t="shared" si="4"/>
        <v>Level 1</v>
      </c>
      <c r="N64" t="s">
        <v>61</v>
      </c>
      <c r="O64" t="s">
        <v>60</v>
      </c>
      <c r="P64" t="s">
        <v>59</v>
      </c>
    </row>
    <row r="65" spans="1:16" x14ac:dyDescent="0.45">
      <c r="A65" t="s">
        <v>10</v>
      </c>
      <c r="B65" t="s">
        <v>1</v>
      </c>
      <c r="C65">
        <v>1</v>
      </c>
      <c r="D65" t="s">
        <v>33</v>
      </c>
      <c r="E65">
        <v>3</v>
      </c>
      <c r="F65" t="s">
        <v>31</v>
      </c>
      <c r="G65" t="s">
        <v>30</v>
      </c>
      <c r="H65" t="s">
        <v>32</v>
      </c>
      <c r="I65">
        <f t="shared" si="5"/>
        <v>0</v>
      </c>
      <c r="J65" t="str">
        <f t="shared" si="2"/>
        <v>Level 3</v>
      </c>
      <c r="K65" t="str">
        <f t="shared" si="3"/>
        <v>Level 2</v>
      </c>
      <c r="L65" t="str">
        <f t="shared" si="4"/>
        <v>Level 1</v>
      </c>
      <c r="N65" t="s">
        <v>61</v>
      </c>
      <c r="O65" t="s">
        <v>60</v>
      </c>
      <c r="P65" t="s">
        <v>59</v>
      </c>
    </row>
    <row r="66" spans="1:16" x14ac:dyDescent="0.45">
      <c r="A66" t="s">
        <v>7</v>
      </c>
      <c r="B66" t="s">
        <v>1</v>
      </c>
      <c r="C66">
        <v>2</v>
      </c>
      <c r="D66" t="s">
        <v>33</v>
      </c>
      <c r="E66">
        <v>5</v>
      </c>
      <c r="F66" t="s">
        <v>31</v>
      </c>
      <c r="G66" t="s">
        <v>31</v>
      </c>
      <c r="H66" t="s">
        <v>11</v>
      </c>
      <c r="I66">
        <f t="shared" si="5"/>
        <v>0</v>
      </c>
      <c r="J66" t="str">
        <f t="shared" si="2"/>
        <v>Level 3</v>
      </c>
      <c r="K66" t="str">
        <f t="shared" si="3"/>
        <v>Level 3</v>
      </c>
      <c r="L66" t="str">
        <f t="shared" si="4"/>
        <v>None of</v>
      </c>
      <c r="N66" t="s">
        <v>61</v>
      </c>
      <c r="O66" t="s">
        <v>60</v>
      </c>
      <c r="P66" t="s">
        <v>59</v>
      </c>
    </row>
    <row r="67" spans="1:16" x14ac:dyDescent="0.45">
      <c r="A67" t="s">
        <v>9</v>
      </c>
      <c r="B67" t="s">
        <v>1</v>
      </c>
      <c r="C67">
        <v>1</v>
      </c>
      <c r="D67" t="s">
        <v>33</v>
      </c>
      <c r="E67">
        <v>4</v>
      </c>
      <c r="F67" t="s">
        <v>30</v>
      </c>
      <c r="G67" t="s">
        <v>31</v>
      </c>
      <c r="H67" t="s">
        <v>32</v>
      </c>
      <c r="I67">
        <f t="shared" si="5"/>
        <v>0</v>
      </c>
      <c r="J67" t="str">
        <f t="shared" ref="J67:J130" si="6">LEFT(F67,7)</f>
        <v>Level 2</v>
      </c>
      <c r="K67" t="str">
        <f t="shared" ref="K67:K130" si="7">LEFT(G67,7)</f>
        <v>Level 3</v>
      </c>
      <c r="L67" t="str">
        <f t="shared" ref="L67:L130" si="8">LEFT(H67,7)</f>
        <v>Level 1</v>
      </c>
      <c r="N67" t="s">
        <v>61</v>
      </c>
      <c r="O67" t="s">
        <v>60</v>
      </c>
      <c r="P67" t="s">
        <v>59</v>
      </c>
    </row>
    <row r="68" spans="1:16" x14ac:dyDescent="0.45">
      <c r="A68" t="s">
        <v>9</v>
      </c>
      <c r="B68" t="s">
        <v>1</v>
      </c>
      <c r="C68">
        <v>3</v>
      </c>
      <c r="D68" t="s">
        <v>33</v>
      </c>
      <c r="E68">
        <v>3</v>
      </c>
      <c r="F68" t="s">
        <v>30</v>
      </c>
      <c r="G68" t="s">
        <v>31</v>
      </c>
      <c r="H68" t="s">
        <v>32</v>
      </c>
      <c r="I68">
        <f t="shared" si="5"/>
        <v>0</v>
      </c>
      <c r="J68" t="str">
        <f t="shared" si="6"/>
        <v>Level 2</v>
      </c>
      <c r="K68" t="str">
        <f t="shared" si="7"/>
        <v>Level 3</v>
      </c>
      <c r="L68" t="str">
        <f t="shared" si="8"/>
        <v>Level 1</v>
      </c>
      <c r="N68" t="s">
        <v>61</v>
      </c>
      <c r="O68" t="s">
        <v>60</v>
      </c>
      <c r="P68" t="s">
        <v>59</v>
      </c>
    </row>
    <row r="69" spans="1:16" x14ac:dyDescent="0.45">
      <c r="A69" t="s">
        <v>9</v>
      </c>
      <c r="B69" t="s">
        <v>1</v>
      </c>
      <c r="C69">
        <v>3</v>
      </c>
      <c r="D69" t="s">
        <v>33</v>
      </c>
      <c r="E69">
        <v>3</v>
      </c>
      <c r="F69" t="s">
        <v>30</v>
      </c>
      <c r="G69" t="s">
        <v>31</v>
      </c>
      <c r="H69" t="s">
        <v>32</v>
      </c>
      <c r="I69">
        <f t="shared" si="5"/>
        <v>0</v>
      </c>
      <c r="J69" t="str">
        <f t="shared" si="6"/>
        <v>Level 2</v>
      </c>
      <c r="K69" t="str">
        <f t="shared" si="7"/>
        <v>Level 3</v>
      </c>
      <c r="L69" t="str">
        <f t="shared" si="8"/>
        <v>Level 1</v>
      </c>
      <c r="N69" t="s">
        <v>61</v>
      </c>
      <c r="O69" t="s">
        <v>60</v>
      </c>
      <c r="P69" t="s">
        <v>59</v>
      </c>
    </row>
    <row r="70" spans="1:16" x14ac:dyDescent="0.45">
      <c r="A70" t="s">
        <v>9</v>
      </c>
      <c r="B70" t="s">
        <v>1</v>
      </c>
      <c r="C70">
        <v>3</v>
      </c>
      <c r="D70" t="s">
        <v>29</v>
      </c>
      <c r="E70">
        <v>4</v>
      </c>
      <c r="F70" t="s">
        <v>30</v>
      </c>
      <c r="G70" t="s">
        <v>31</v>
      </c>
      <c r="H70" t="s">
        <v>32</v>
      </c>
      <c r="I70">
        <f t="shared" si="5"/>
        <v>1</v>
      </c>
      <c r="J70" t="str">
        <f t="shared" si="6"/>
        <v>Level 2</v>
      </c>
      <c r="K70" t="str">
        <f t="shared" si="7"/>
        <v>Level 3</v>
      </c>
      <c r="L70" t="str">
        <f t="shared" si="8"/>
        <v>Level 1</v>
      </c>
      <c r="N70" t="s">
        <v>61</v>
      </c>
      <c r="O70" t="s">
        <v>60</v>
      </c>
      <c r="P70" t="s">
        <v>59</v>
      </c>
    </row>
    <row r="71" spans="1:16" x14ac:dyDescent="0.45">
      <c r="A71" t="s">
        <v>9</v>
      </c>
      <c r="B71" t="s">
        <v>8</v>
      </c>
      <c r="C71">
        <v>3</v>
      </c>
      <c r="D71" t="s">
        <v>33</v>
      </c>
      <c r="E71">
        <v>4</v>
      </c>
      <c r="F71" t="s">
        <v>37</v>
      </c>
      <c r="G71" t="s">
        <v>38</v>
      </c>
      <c r="H71" t="s">
        <v>11</v>
      </c>
      <c r="I71">
        <v>0</v>
      </c>
      <c r="J71" t="str">
        <f t="shared" si="6"/>
        <v>Level 1</v>
      </c>
      <c r="K71" t="str">
        <f t="shared" si="7"/>
        <v>Level 2</v>
      </c>
      <c r="L71" t="str">
        <f t="shared" si="8"/>
        <v>None of</v>
      </c>
      <c r="N71" t="s">
        <v>60</v>
      </c>
      <c r="O71" t="s">
        <v>61</v>
      </c>
      <c r="P71" t="s">
        <v>59</v>
      </c>
    </row>
    <row r="72" spans="1:16" x14ac:dyDescent="0.45">
      <c r="A72" t="s">
        <v>0</v>
      </c>
      <c r="B72" t="s">
        <v>1</v>
      </c>
      <c r="C72">
        <v>2</v>
      </c>
      <c r="D72" t="s">
        <v>33</v>
      </c>
      <c r="E72">
        <v>4</v>
      </c>
      <c r="F72" t="s">
        <v>11</v>
      </c>
      <c r="G72" t="s">
        <v>38</v>
      </c>
      <c r="H72" t="s">
        <v>37</v>
      </c>
      <c r="I72">
        <v>0</v>
      </c>
      <c r="J72" t="str">
        <f t="shared" si="6"/>
        <v>None of</v>
      </c>
      <c r="K72" t="str">
        <f t="shared" si="7"/>
        <v>Level 2</v>
      </c>
      <c r="L72" t="str">
        <f t="shared" si="8"/>
        <v>Level 1</v>
      </c>
      <c r="N72" t="s">
        <v>60</v>
      </c>
      <c r="O72" t="s">
        <v>61</v>
      </c>
      <c r="P72" t="s">
        <v>59</v>
      </c>
    </row>
    <row r="73" spans="1:16" x14ac:dyDescent="0.45">
      <c r="A73" t="s">
        <v>7</v>
      </c>
      <c r="B73" t="s">
        <v>1</v>
      </c>
      <c r="C73">
        <v>3</v>
      </c>
      <c r="D73" t="s">
        <v>39</v>
      </c>
      <c r="E73">
        <v>3</v>
      </c>
      <c r="F73" t="s">
        <v>38</v>
      </c>
      <c r="G73" t="s">
        <v>40</v>
      </c>
      <c r="H73" t="s">
        <v>37</v>
      </c>
      <c r="I73">
        <v>1</v>
      </c>
      <c r="J73" t="str">
        <f t="shared" si="6"/>
        <v>Level 2</v>
      </c>
      <c r="K73" t="str">
        <f t="shared" si="7"/>
        <v>Level 3</v>
      </c>
      <c r="L73" t="str">
        <f t="shared" si="8"/>
        <v>Level 1</v>
      </c>
      <c r="N73" t="s">
        <v>60</v>
      </c>
      <c r="O73" t="s">
        <v>61</v>
      </c>
      <c r="P73" t="s">
        <v>59</v>
      </c>
    </row>
    <row r="74" spans="1:16" x14ac:dyDescent="0.45">
      <c r="A74" t="s">
        <v>7</v>
      </c>
      <c r="B74" t="s">
        <v>8</v>
      </c>
      <c r="C74">
        <v>4</v>
      </c>
      <c r="D74" t="s">
        <v>5</v>
      </c>
      <c r="E74">
        <v>5</v>
      </c>
      <c r="F74" t="s">
        <v>37</v>
      </c>
      <c r="G74" t="s">
        <v>40</v>
      </c>
      <c r="H74" t="s">
        <v>37</v>
      </c>
      <c r="I74">
        <v>0</v>
      </c>
      <c r="J74" t="str">
        <f t="shared" si="6"/>
        <v>Level 1</v>
      </c>
      <c r="K74" t="str">
        <f t="shared" si="7"/>
        <v>Level 3</v>
      </c>
      <c r="L74" t="str">
        <f t="shared" si="8"/>
        <v>Level 1</v>
      </c>
      <c r="N74" t="s">
        <v>60</v>
      </c>
      <c r="O74" t="s">
        <v>61</v>
      </c>
      <c r="P74" t="s">
        <v>59</v>
      </c>
    </row>
    <row r="75" spans="1:16" x14ac:dyDescent="0.45">
      <c r="A75" t="s">
        <v>7</v>
      </c>
      <c r="B75" t="s">
        <v>8</v>
      </c>
      <c r="C75">
        <v>4</v>
      </c>
      <c r="D75" t="s">
        <v>33</v>
      </c>
      <c r="E75">
        <v>5</v>
      </c>
      <c r="F75" t="s">
        <v>37</v>
      </c>
      <c r="G75" t="s">
        <v>40</v>
      </c>
      <c r="H75" t="s">
        <v>37</v>
      </c>
      <c r="I75">
        <v>0</v>
      </c>
      <c r="J75" t="str">
        <f t="shared" si="6"/>
        <v>Level 1</v>
      </c>
      <c r="K75" t="str">
        <f t="shared" si="7"/>
        <v>Level 3</v>
      </c>
      <c r="L75" t="str">
        <f t="shared" si="8"/>
        <v>Level 1</v>
      </c>
      <c r="N75" t="s">
        <v>60</v>
      </c>
      <c r="O75" t="s">
        <v>61</v>
      </c>
      <c r="P75" t="s">
        <v>59</v>
      </c>
    </row>
    <row r="76" spans="1:16" x14ac:dyDescent="0.45">
      <c r="A76" t="s">
        <v>0</v>
      </c>
      <c r="B76" t="s">
        <v>8</v>
      </c>
      <c r="C76">
        <v>4</v>
      </c>
      <c r="D76" t="s">
        <v>39</v>
      </c>
      <c r="E76">
        <v>5</v>
      </c>
      <c r="F76" t="s">
        <v>38</v>
      </c>
      <c r="G76" t="s">
        <v>40</v>
      </c>
      <c r="H76" t="s">
        <v>37</v>
      </c>
      <c r="I76">
        <v>1</v>
      </c>
      <c r="J76" t="str">
        <f t="shared" si="6"/>
        <v>Level 2</v>
      </c>
      <c r="K76" t="str">
        <f t="shared" si="7"/>
        <v>Level 3</v>
      </c>
      <c r="L76" t="str">
        <f t="shared" si="8"/>
        <v>Level 1</v>
      </c>
      <c r="N76" t="s">
        <v>60</v>
      </c>
      <c r="O76" t="s">
        <v>61</v>
      </c>
      <c r="P76" t="s">
        <v>59</v>
      </c>
    </row>
    <row r="77" spans="1:16" x14ac:dyDescent="0.45">
      <c r="A77" t="s">
        <v>0</v>
      </c>
      <c r="B77" t="s">
        <v>8</v>
      </c>
      <c r="C77">
        <v>3</v>
      </c>
      <c r="D77" t="s">
        <v>2</v>
      </c>
      <c r="E77">
        <v>4</v>
      </c>
      <c r="F77" t="s">
        <v>37</v>
      </c>
      <c r="G77" t="s">
        <v>40</v>
      </c>
      <c r="H77" t="s">
        <v>37</v>
      </c>
      <c r="I77">
        <v>0</v>
      </c>
      <c r="J77" t="str">
        <f t="shared" si="6"/>
        <v>Level 1</v>
      </c>
      <c r="K77" t="str">
        <f t="shared" si="7"/>
        <v>Level 3</v>
      </c>
      <c r="L77" t="str">
        <f t="shared" si="8"/>
        <v>Level 1</v>
      </c>
      <c r="N77" t="s">
        <v>60</v>
      </c>
      <c r="O77" t="s">
        <v>61</v>
      </c>
      <c r="P77" t="s">
        <v>59</v>
      </c>
    </row>
    <row r="78" spans="1:16" x14ac:dyDescent="0.45">
      <c r="A78" t="s">
        <v>0</v>
      </c>
      <c r="B78" t="s">
        <v>1</v>
      </c>
      <c r="C78">
        <v>4</v>
      </c>
      <c r="D78" t="s">
        <v>39</v>
      </c>
      <c r="E78">
        <v>2</v>
      </c>
      <c r="F78" t="s">
        <v>38</v>
      </c>
      <c r="G78" t="s">
        <v>40</v>
      </c>
      <c r="H78" t="s">
        <v>37</v>
      </c>
      <c r="I78">
        <v>1</v>
      </c>
      <c r="J78" t="str">
        <f t="shared" si="6"/>
        <v>Level 2</v>
      </c>
      <c r="K78" t="str">
        <f t="shared" si="7"/>
        <v>Level 3</v>
      </c>
      <c r="L78" t="str">
        <f t="shared" si="8"/>
        <v>Level 1</v>
      </c>
      <c r="N78" t="s">
        <v>60</v>
      </c>
      <c r="O78" t="s">
        <v>61</v>
      </c>
      <c r="P78" t="s">
        <v>59</v>
      </c>
    </row>
    <row r="79" spans="1:16" x14ac:dyDescent="0.45">
      <c r="A79" t="s">
        <v>9</v>
      </c>
      <c r="B79" t="s">
        <v>1</v>
      </c>
      <c r="C79">
        <v>3</v>
      </c>
      <c r="D79" t="s">
        <v>39</v>
      </c>
      <c r="E79">
        <v>5</v>
      </c>
      <c r="F79" t="s">
        <v>38</v>
      </c>
      <c r="G79" t="s">
        <v>40</v>
      </c>
      <c r="H79" t="s">
        <v>37</v>
      </c>
      <c r="I79">
        <v>1</v>
      </c>
      <c r="J79" t="str">
        <f t="shared" si="6"/>
        <v>Level 2</v>
      </c>
      <c r="K79" t="str">
        <f t="shared" si="7"/>
        <v>Level 3</v>
      </c>
      <c r="L79" t="str">
        <f t="shared" si="8"/>
        <v>Level 1</v>
      </c>
      <c r="N79" t="s">
        <v>60</v>
      </c>
      <c r="O79" t="s">
        <v>61</v>
      </c>
      <c r="P79" t="s">
        <v>59</v>
      </c>
    </row>
    <row r="80" spans="1:16" x14ac:dyDescent="0.45">
      <c r="A80" t="s">
        <v>9</v>
      </c>
      <c r="B80" t="s">
        <v>1</v>
      </c>
      <c r="C80">
        <v>2</v>
      </c>
      <c r="D80" t="s">
        <v>39</v>
      </c>
      <c r="E80">
        <v>2</v>
      </c>
      <c r="F80" t="s">
        <v>38</v>
      </c>
      <c r="G80" t="s">
        <v>40</v>
      </c>
      <c r="H80" t="s">
        <v>37</v>
      </c>
      <c r="I80">
        <v>1</v>
      </c>
      <c r="J80" t="str">
        <f t="shared" si="6"/>
        <v>Level 2</v>
      </c>
      <c r="K80" t="str">
        <f t="shared" si="7"/>
        <v>Level 3</v>
      </c>
      <c r="L80" t="str">
        <f t="shared" si="8"/>
        <v>Level 1</v>
      </c>
      <c r="N80" t="s">
        <v>60</v>
      </c>
      <c r="O80" t="s">
        <v>61</v>
      </c>
      <c r="P80" t="s">
        <v>59</v>
      </c>
    </row>
    <row r="81" spans="1:16" x14ac:dyDescent="0.45">
      <c r="A81" t="s">
        <v>0</v>
      </c>
      <c r="B81" t="s">
        <v>1</v>
      </c>
      <c r="C81">
        <v>1</v>
      </c>
      <c r="D81" t="s">
        <v>33</v>
      </c>
      <c r="E81">
        <v>4</v>
      </c>
      <c r="F81" t="s">
        <v>37</v>
      </c>
      <c r="G81" t="s">
        <v>40</v>
      </c>
      <c r="H81" t="s">
        <v>37</v>
      </c>
      <c r="I81">
        <v>0</v>
      </c>
      <c r="J81" t="str">
        <f t="shared" si="6"/>
        <v>Level 1</v>
      </c>
      <c r="K81" t="str">
        <f t="shared" si="7"/>
        <v>Level 3</v>
      </c>
      <c r="L81" t="str">
        <f t="shared" si="8"/>
        <v>Level 1</v>
      </c>
      <c r="N81" t="s">
        <v>60</v>
      </c>
      <c r="O81" t="s">
        <v>61</v>
      </c>
      <c r="P81" t="s">
        <v>59</v>
      </c>
    </row>
    <row r="82" spans="1:16" x14ac:dyDescent="0.45">
      <c r="A82" t="s">
        <v>0</v>
      </c>
      <c r="B82" t="s">
        <v>1</v>
      </c>
      <c r="C82">
        <v>4</v>
      </c>
      <c r="D82" t="s">
        <v>11</v>
      </c>
      <c r="E82">
        <v>3</v>
      </c>
      <c r="F82" t="s">
        <v>11</v>
      </c>
      <c r="G82" t="s">
        <v>38</v>
      </c>
      <c r="H82" t="s">
        <v>37</v>
      </c>
      <c r="I82">
        <v>0</v>
      </c>
      <c r="J82" t="str">
        <f t="shared" si="6"/>
        <v>None of</v>
      </c>
      <c r="K82" t="str">
        <f t="shared" si="7"/>
        <v>Level 2</v>
      </c>
      <c r="L82" t="str">
        <f t="shared" si="8"/>
        <v>Level 1</v>
      </c>
      <c r="N82" t="s">
        <v>60</v>
      </c>
      <c r="O82" t="s">
        <v>61</v>
      </c>
      <c r="P82" t="s">
        <v>59</v>
      </c>
    </row>
    <row r="83" spans="1:16" x14ac:dyDescent="0.45">
      <c r="A83" t="s">
        <v>0</v>
      </c>
      <c r="B83" t="s">
        <v>1</v>
      </c>
      <c r="C83">
        <v>3</v>
      </c>
      <c r="D83" t="s">
        <v>2</v>
      </c>
      <c r="E83">
        <v>2</v>
      </c>
      <c r="F83" t="s">
        <v>40</v>
      </c>
      <c r="G83" t="s">
        <v>38</v>
      </c>
      <c r="H83" t="s">
        <v>37</v>
      </c>
      <c r="I83">
        <v>0</v>
      </c>
      <c r="J83" t="str">
        <f t="shared" si="6"/>
        <v>Level 3</v>
      </c>
      <c r="K83" t="str">
        <f t="shared" si="7"/>
        <v>Level 2</v>
      </c>
      <c r="L83" t="str">
        <f t="shared" si="8"/>
        <v>Level 1</v>
      </c>
      <c r="N83" t="s">
        <v>60</v>
      </c>
      <c r="O83" t="s">
        <v>61</v>
      </c>
      <c r="P83" t="s">
        <v>59</v>
      </c>
    </row>
    <row r="84" spans="1:16" x14ac:dyDescent="0.45">
      <c r="A84" t="s">
        <v>0</v>
      </c>
      <c r="B84" t="s">
        <v>1</v>
      </c>
      <c r="C84">
        <v>2</v>
      </c>
      <c r="D84" t="s">
        <v>33</v>
      </c>
      <c r="E84">
        <v>4</v>
      </c>
      <c r="F84" t="s">
        <v>38</v>
      </c>
      <c r="G84" t="s">
        <v>40</v>
      </c>
      <c r="H84" t="s">
        <v>37</v>
      </c>
      <c r="I84">
        <v>0</v>
      </c>
      <c r="J84" t="str">
        <f t="shared" si="6"/>
        <v>Level 2</v>
      </c>
      <c r="K84" t="str">
        <f t="shared" si="7"/>
        <v>Level 3</v>
      </c>
      <c r="L84" t="str">
        <f t="shared" si="8"/>
        <v>Level 1</v>
      </c>
      <c r="N84" t="s">
        <v>60</v>
      </c>
      <c r="O84" t="s">
        <v>61</v>
      </c>
      <c r="P84" t="s">
        <v>59</v>
      </c>
    </row>
    <row r="85" spans="1:16" x14ac:dyDescent="0.45">
      <c r="A85" t="s">
        <v>0</v>
      </c>
      <c r="B85" t="s">
        <v>1</v>
      </c>
      <c r="C85">
        <v>2</v>
      </c>
      <c r="D85" t="s">
        <v>33</v>
      </c>
      <c r="E85">
        <v>3</v>
      </c>
      <c r="F85" t="s">
        <v>40</v>
      </c>
      <c r="G85" t="s">
        <v>38</v>
      </c>
      <c r="H85" t="s">
        <v>37</v>
      </c>
      <c r="I85">
        <v>0</v>
      </c>
      <c r="J85" t="str">
        <f t="shared" si="6"/>
        <v>Level 3</v>
      </c>
      <c r="K85" t="str">
        <f t="shared" si="7"/>
        <v>Level 2</v>
      </c>
      <c r="L85" t="str">
        <f t="shared" si="8"/>
        <v>Level 1</v>
      </c>
      <c r="N85" t="s">
        <v>60</v>
      </c>
      <c r="O85" t="s">
        <v>61</v>
      </c>
      <c r="P85" t="s">
        <v>59</v>
      </c>
    </row>
    <row r="86" spans="1:16" x14ac:dyDescent="0.45">
      <c r="A86" t="s">
        <v>9</v>
      </c>
      <c r="B86" t="s">
        <v>8</v>
      </c>
      <c r="C86">
        <v>2</v>
      </c>
      <c r="D86" t="s">
        <v>39</v>
      </c>
      <c r="E86">
        <v>4</v>
      </c>
      <c r="F86" t="s">
        <v>38</v>
      </c>
      <c r="G86" t="s">
        <v>40</v>
      </c>
      <c r="H86" t="s">
        <v>37</v>
      </c>
      <c r="I86">
        <v>1</v>
      </c>
      <c r="J86" t="str">
        <f t="shared" si="6"/>
        <v>Level 2</v>
      </c>
      <c r="K86" t="str">
        <f t="shared" si="7"/>
        <v>Level 3</v>
      </c>
      <c r="L86" t="str">
        <f t="shared" si="8"/>
        <v>Level 1</v>
      </c>
      <c r="N86" t="s">
        <v>60</v>
      </c>
      <c r="O86" t="s">
        <v>61</v>
      </c>
      <c r="P86" t="s">
        <v>59</v>
      </c>
    </row>
    <row r="87" spans="1:16" x14ac:dyDescent="0.45">
      <c r="A87" t="s">
        <v>9</v>
      </c>
      <c r="B87" t="s">
        <v>8</v>
      </c>
      <c r="C87">
        <v>5</v>
      </c>
      <c r="D87" t="s">
        <v>2</v>
      </c>
      <c r="E87">
        <v>4</v>
      </c>
      <c r="F87" t="s">
        <v>38</v>
      </c>
      <c r="G87" t="s">
        <v>40</v>
      </c>
      <c r="H87" t="s">
        <v>37</v>
      </c>
      <c r="I87">
        <v>0</v>
      </c>
      <c r="J87" t="str">
        <f t="shared" si="6"/>
        <v>Level 2</v>
      </c>
      <c r="K87" t="str">
        <f t="shared" si="7"/>
        <v>Level 3</v>
      </c>
      <c r="L87" t="str">
        <f t="shared" si="8"/>
        <v>Level 1</v>
      </c>
      <c r="N87" t="s">
        <v>60</v>
      </c>
      <c r="O87" t="s">
        <v>61</v>
      </c>
      <c r="P87" t="s">
        <v>59</v>
      </c>
    </row>
    <row r="88" spans="1:16" x14ac:dyDescent="0.45">
      <c r="A88" t="s">
        <v>0</v>
      </c>
      <c r="B88" t="s">
        <v>1</v>
      </c>
      <c r="C88">
        <v>1</v>
      </c>
      <c r="D88" t="s">
        <v>33</v>
      </c>
      <c r="E88">
        <v>4</v>
      </c>
      <c r="F88" t="s">
        <v>38</v>
      </c>
      <c r="G88" t="s">
        <v>40</v>
      </c>
      <c r="H88" t="s">
        <v>37</v>
      </c>
      <c r="I88">
        <v>0</v>
      </c>
      <c r="J88" t="str">
        <f t="shared" si="6"/>
        <v>Level 2</v>
      </c>
      <c r="K88" t="str">
        <f t="shared" si="7"/>
        <v>Level 3</v>
      </c>
      <c r="L88" t="str">
        <f t="shared" si="8"/>
        <v>Level 1</v>
      </c>
      <c r="N88" t="s">
        <v>60</v>
      </c>
      <c r="O88" t="s">
        <v>61</v>
      </c>
      <c r="P88" t="s">
        <v>59</v>
      </c>
    </row>
    <row r="89" spans="1:16" x14ac:dyDescent="0.45">
      <c r="A89" t="s">
        <v>9</v>
      </c>
      <c r="B89" t="s">
        <v>8</v>
      </c>
      <c r="C89">
        <v>4</v>
      </c>
      <c r="D89" t="s">
        <v>5</v>
      </c>
      <c r="E89">
        <v>1</v>
      </c>
      <c r="F89" t="s">
        <v>40</v>
      </c>
      <c r="G89" t="s">
        <v>38</v>
      </c>
      <c r="H89" t="s">
        <v>37</v>
      </c>
      <c r="I89">
        <v>0</v>
      </c>
      <c r="J89" t="str">
        <f t="shared" si="6"/>
        <v>Level 3</v>
      </c>
      <c r="K89" t="str">
        <f t="shared" si="7"/>
        <v>Level 2</v>
      </c>
      <c r="L89" t="str">
        <f t="shared" si="8"/>
        <v>Level 1</v>
      </c>
      <c r="N89" t="s">
        <v>60</v>
      </c>
      <c r="O89" t="s">
        <v>61</v>
      </c>
      <c r="P89" t="s">
        <v>59</v>
      </c>
    </row>
    <row r="90" spans="1:16" x14ac:dyDescent="0.45">
      <c r="A90" t="s">
        <v>9</v>
      </c>
      <c r="B90" t="s">
        <v>8</v>
      </c>
      <c r="C90">
        <v>3</v>
      </c>
      <c r="D90" t="s">
        <v>5</v>
      </c>
      <c r="E90">
        <v>2</v>
      </c>
      <c r="F90" t="s">
        <v>38</v>
      </c>
      <c r="G90" t="s">
        <v>40</v>
      </c>
      <c r="H90" t="s">
        <v>37</v>
      </c>
      <c r="I90">
        <v>0</v>
      </c>
      <c r="J90" t="str">
        <f t="shared" si="6"/>
        <v>Level 2</v>
      </c>
      <c r="K90" t="str">
        <f t="shared" si="7"/>
        <v>Level 3</v>
      </c>
      <c r="L90" t="str">
        <f t="shared" si="8"/>
        <v>Level 1</v>
      </c>
      <c r="N90" t="s">
        <v>60</v>
      </c>
      <c r="O90" t="s">
        <v>61</v>
      </c>
      <c r="P90" t="s">
        <v>59</v>
      </c>
    </row>
    <row r="91" spans="1:16" x14ac:dyDescent="0.45">
      <c r="A91" t="s">
        <v>9</v>
      </c>
      <c r="B91" t="s">
        <v>1</v>
      </c>
      <c r="C91">
        <v>4</v>
      </c>
      <c r="D91" t="s">
        <v>2</v>
      </c>
      <c r="E91">
        <v>1</v>
      </c>
      <c r="F91" t="s">
        <v>37</v>
      </c>
      <c r="G91" t="s">
        <v>40</v>
      </c>
      <c r="H91" t="s">
        <v>38</v>
      </c>
      <c r="I91">
        <v>0</v>
      </c>
      <c r="J91" t="str">
        <f t="shared" si="6"/>
        <v>Level 1</v>
      </c>
      <c r="K91" t="str">
        <f t="shared" si="7"/>
        <v>Level 3</v>
      </c>
      <c r="L91" t="str">
        <f t="shared" si="8"/>
        <v>Level 2</v>
      </c>
      <c r="N91" t="s">
        <v>60</v>
      </c>
      <c r="O91" t="s">
        <v>61</v>
      </c>
      <c r="P91" t="s">
        <v>59</v>
      </c>
    </row>
    <row r="92" spans="1:16" x14ac:dyDescent="0.45">
      <c r="A92" t="s">
        <v>9</v>
      </c>
      <c r="B92" t="s">
        <v>1</v>
      </c>
      <c r="C92">
        <v>5</v>
      </c>
      <c r="D92" t="s">
        <v>39</v>
      </c>
      <c r="E92">
        <v>5</v>
      </c>
      <c r="F92" t="s">
        <v>38</v>
      </c>
      <c r="G92" t="s">
        <v>40</v>
      </c>
      <c r="H92" t="s">
        <v>37</v>
      </c>
      <c r="I92">
        <v>1</v>
      </c>
      <c r="J92" t="str">
        <f t="shared" si="6"/>
        <v>Level 2</v>
      </c>
      <c r="K92" t="str">
        <f t="shared" si="7"/>
        <v>Level 3</v>
      </c>
      <c r="L92" t="str">
        <f t="shared" si="8"/>
        <v>Level 1</v>
      </c>
      <c r="N92" t="s">
        <v>60</v>
      </c>
      <c r="O92" t="s">
        <v>61</v>
      </c>
      <c r="P92" t="s">
        <v>59</v>
      </c>
    </row>
    <row r="93" spans="1:16" x14ac:dyDescent="0.45">
      <c r="A93" t="s">
        <v>7</v>
      </c>
      <c r="B93" t="s">
        <v>8</v>
      </c>
      <c r="C93">
        <v>1</v>
      </c>
      <c r="D93" t="s">
        <v>33</v>
      </c>
      <c r="E93">
        <v>5</v>
      </c>
      <c r="F93" t="s">
        <v>40</v>
      </c>
      <c r="G93" t="s">
        <v>37</v>
      </c>
      <c r="H93" t="s">
        <v>37</v>
      </c>
      <c r="I93">
        <v>0</v>
      </c>
      <c r="J93" t="str">
        <f t="shared" si="6"/>
        <v>Level 3</v>
      </c>
      <c r="K93" t="str">
        <f t="shared" si="7"/>
        <v>Level 1</v>
      </c>
      <c r="L93" t="str">
        <f t="shared" si="8"/>
        <v>Level 1</v>
      </c>
      <c r="N93" t="s">
        <v>60</v>
      </c>
      <c r="O93" t="s">
        <v>61</v>
      </c>
      <c r="P93" t="s">
        <v>59</v>
      </c>
    </row>
    <row r="94" spans="1:16" x14ac:dyDescent="0.45">
      <c r="A94" t="s">
        <v>9</v>
      </c>
      <c r="B94" t="s">
        <v>1</v>
      </c>
      <c r="C94">
        <v>3</v>
      </c>
      <c r="D94" t="s">
        <v>5</v>
      </c>
      <c r="E94">
        <v>2</v>
      </c>
      <c r="F94" t="s">
        <v>38</v>
      </c>
      <c r="G94" t="s">
        <v>37</v>
      </c>
      <c r="H94" t="s">
        <v>11</v>
      </c>
      <c r="I94">
        <v>0</v>
      </c>
      <c r="J94" t="str">
        <f t="shared" si="6"/>
        <v>Level 2</v>
      </c>
      <c r="K94" t="str">
        <f t="shared" si="7"/>
        <v>Level 1</v>
      </c>
      <c r="L94" t="str">
        <f t="shared" si="8"/>
        <v>None of</v>
      </c>
      <c r="N94" t="s">
        <v>60</v>
      </c>
      <c r="O94" t="s">
        <v>61</v>
      </c>
      <c r="P94" t="s">
        <v>59</v>
      </c>
    </row>
    <row r="95" spans="1:16" x14ac:dyDescent="0.45">
      <c r="A95" t="s">
        <v>7</v>
      </c>
      <c r="B95" t="s">
        <v>1</v>
      </c>
      <c r="C95">
        <v>4</v>
      </c>
      <c r="D95" t="s">
        <v>33</v>
      </c>
      <c r="E95">
        <v>3</v>
      </c>
      <c r="F95" t="s">
        <v>38</v>
      </c>
      <c r="G95" t="s">
        <v>38</v>
      </c>
      <c r="H95" t="s">
        <v>37</v>
      </c>
      <c r="I95">
        <v>0</v>
      </c>
      <c r="J95" t="str">
        <f t="shared" si="6"/>
        <v>Level 2</v>
      </c>
      <c r="K95" t="str">
        <f t="shared" si="7"/>
        <v>Level 2</v>
      </c>
      <c r="L95" t="str">
        <f t="shared" si="8"/>
        <v>Level 1</v>
      </c>
      <c r="N95" t="s">
        <v>60</v>
      </c>
      <c r="O95" t="s">
        <v>61</v>
      </c>
      <c r="P95" t="s">
        <v>59</v>
      </c>
    </row>
    <row r="96" spans="1:16" x14ac:dyDescent="0.45">
      <c r="A96" t="s">
        <v>35</v>
      </c>
      <c r="B96" t="s">
        <v>8</v>
      </c>
      <c r="C96">
        <v>2</v>
      </c>
      <c r="D96" t="s">
        <v>29</v>
      </c>
      <c r="E96">
        <v>3</v>
      </c>
      <c r="F96" t="s">
        <v>38</v>
      </c>
      <c r="G96" t="s">
        <v>40</v>
      </c>
      <c r="H96" t="s">
        <v>37</v>
      </c>
      <c r="I96">
        <v>0</v>
      </c>
      <c r="J96" t="str">
        <f t="shared" si="6"/>
        <v>Level 2</v>
      </c>
      <c r="K96" t="str">
        <f t="shared" si="7"/>
        <v>Level 3</v>
      </c>
      <c r="L96" t="str">
        <f t="shared" si="8"/>
        <v>Level 1</v>
      </c>
      <c r="N96" t="s">
        <v>60</v>
      </c>
      <c r="O96" t="s">
        <v>61</v>
      </c>
      <c r="P96" t="s">
        <v>59</v>
      </c>
    </row>
    <row r="97" spans="1:16" x14ac:dyDescent="0.45">
      <c r="A97" t="s">
        <v>7</v>
      </c>
      <c r="B97" t="s">
        <v>8</v>
      </c>
      <c r="C97">
        <v>1</v>
      </c>
      <c r="D97" t="s">
        <v>33</v>
      </c>
      <c r="E97">
        <v>5</v>
      </c>
      <c r="F97" t="s">
        <v>38</v>
      </c>
      <c r="G97" t="s">
        <v>40</v>
      </c>
      <c r="H97" t="s">
        <v>37</v>
      </c>
      <c r="I97">
        <v>0</v>
      </c>
      <c r="J97" t="str">
        <f t="shared" si="6"/>
        <v>Level 2</v>
      </c>
      <c r="K97" t="str">
        <f t="shared" si="7"/>
        <v>Level 3</v>
      </c>
      <c r="L97" t="str">
        <f t="shared" si="8"/>
        <v>Level 1</v>
      </c>
      <c r="N97" t="s">
        <v>60</v>
      </c>
      <c r="O97" t="s">
        <v>61</v>
      </c>
      <c r="P97" t="s">
        <v>59</v>
      </c>
    </row>
    <row r="98" spans="1:16" x14ac:dyDescent="0.45">
      <c r="A98" t="s">
        <v>7</v>
      </c>
      <c r="B98" t="s">
        <v>8</v>
      </c>
      <c r="C98">
        <v>2</v>
      </c>
      <c r="D98" t="s">
        <v>29</v>
      </c>
      <c r="E98">
        <v>3</v>
      </c>
      <c r="F98" t="s">
        <v>37</v>
      </c>
      <c r="G98" t="s">
        <v>38</v>
      </c>
      <c r="H98" t="s">
        <v>37</v>
      </c>
      <c r="I98">
        <v>0</v>
      </c>
      <c r="J98" t="str">
        <f t="shared" si="6"/>
        <v>Level 1</v>
      </c>
      <c r="K98" t="str">
        <f t="shared" si="7"/>
        <v>Level 2</v>
      </c>
      <c r="L98" t="str">
        <f t="shared" si="8"/>
        <v>Level 1</v>
      </c>
      <c r="N98" t="s">
        <v>60</v>
      </c>
      <c r="O98" t="s">
        <v>61</v>
      </c>
      <c r="P98" t="s">
        <v>59</v>
      </c>
    </row>
    <row r="99" spans="1:16" x14ac:dyDescent="0.45">
      <c r="A99" t="s">
        <v>9</v>
      </c>
      <c r="B99" t="s">
        <v>8</v>
      </c>
      <c r="C99">
        <v>2</v>
      </c>
      <c r="D99" t="s">
        <v>39</v>
      </c>
      <c r="E99">
        <v>3</v>
      </c>
      <c r="F99" t="s">
        <v>11</v>
      </c>
      <c r="G99" t="s">
        <v>38</v>
      </c>
      <c r="H99" t="s">
        <v>37</v>
      </c>
      <c r="I99">
        <v>1</v>
      </c>
      <c r="J99" t="str">
        <f t="shared" si="6"/>
        <v>None of</v>
      </c>
      <c r="K99" t="str">
        <f t="shared" si="7"/>
        <v>Level 2</v>
      </c>
      <c r="L99" t="str">
        <f t="shared" si="8"/>
        <v>Level 1</v>
      </c>
      <c r="N99" t="s">
        <v>60</v>
      </c>
      <c r="O99" t="s">
        <v>61</v>
      </c>
      <c r="P99" t="s">
        <v>59</v>
      </c>
    </row>
    <row r="100" spans="1:16" x14ac:dyDescent="0.45">
      <c r="A100" t="s">
        <v>10</v>
      </c>
      <c r="B100" t="s">
        <v>1</v>
      </c>
      <c r="C100">
        <v>1</v>
      </c>
      <c r="D100" t="s">
        <v>33</v>
      </c>
      <c r="E100">
        <v>5</v>
      </c>
      <c r="F100" t="s">
        <v>38</v>
      </c>
      <c r="G100" t="s">
        <v>40</v>
      </c>
      <c r="H100" t="s">
        <v>37</v>
      </c>
      <c r="I100">
        <v>0</v>
      </c>
      <c r="J100" t="str">
        <f t="shared" si="6"/>
        <v>Level 2</v>
      </c>
      <c r="K100" t="str">
        <f t="shared" si="7"/>
        <v>Level 3</v>
      </c>
      <c r="L100" t="str">
        <f t="shared" si="8"/>
        <v>Level 1</v>
      </c>
      <c r="N100" t="s">
        <v>60</v>
      </c>
      <c r="O100" t="s">
        <v>61</v>
      </c>
      <c r="P100" t="s">
        <v>59</v>
      </c>
    </row>
    <row r="101" spans="1:16" x14ac:dyDescent="0.45">
      <c r="A101" t="s">
        <v>9</v>
      </c>
      <c r="B101" t="s">
        <v>1</v>
      </c>
      <c r="C101">
        <v>1</v>
      </c>
      <c r="D101" t="s">
        <v>39</v>
      </c>
      <c r="E101">
        <v>2</v>
      </c>
      <c r="F101" t="s">
        <v>38</v>
      </c>
      <c r="G101" t="s">
        <v>40</v>
      </c>
      <c r="H101" t="s">
        <v>37</v>
      </c>
      <c r="I101">
        <v>1</v>
      </c>
      <c r="J101" t="str">
        <f t="shared" si="6"/>
        <v>Level 2</v>
      </c>
      <c r="K101" t="str">
        <f t="shared" si="7"/>
        <v>Level 3</v>
      </c>
      <c r="L101" t="str">
        <f t="shared" si="8"/>
        <v>Level 1</v>
      </c>
      <c r="N101" t="s">
        <v>60</v>
      </c>
      <c r="O101" t="s">
        <v>61</v>
      </c>
      <c r="P101" t="s">
        <v>59</v>
      </c>
    </row>
    <row r="102" spans="1:16" x14ac:dyDescent="0.45">
      <c r="A102" t="s">
        <v>9</v>
      </c>
      <c r="B102" t="s">
        <v>8</v>
      </c>
      <c r="C102">
        <v>2</v>
      </c>
      <c r="D102" t="s">
        <v>33</v>
      </c>
      <c r="E102">
        <v>4</v>
      </c>
      <c r="F102" t="s">
        <v>38</v>
      </c>
      <c r="G102" t="s">
        <v>40</v>
      </c>
      <c r="H102" t="s">
        <v>37</v>
      </c>
      <c r="I102">
        <v>0</v>
      </c>
      <c r="J102" t="str">
        <f t="shared" si="6"/>
        <v>Level 2</v>
      </c>
      <c r="K102" t="str">
        <f t="shared" si="7"/>
        <v>Level 3</v>
      </c>
      <c r="L102" t="str">
        <f t="shared" si="8"/>
        <v>Level 1</v>
      </c>
      <c r="N102" t="s">
        <v>60</v>
      </c>
      <c r="O102" t="s">
        <v>61</v>
      </c>
      <c r="P102" t="s">
        <v>59</v>
      </c>
    </row>
    <row r="103" spans="1:16" x14ac:dyDescent="0.45">
      <c r="A103" t="s">
        <v>9</v>
      </c>
      <c r="B103" t="s">
        <v>8</v>
      </c>
      <c r="C103">
        <v>2</v>
      </c>
      <c r="D103" t="s">
        <v>5</v>
      </c>
      <c r="E103">
        <v>1</v>
      </c>
      <c r="F103" t="s">
        <v>38</v>
      </c>
      <c r="G103" t="s">
        <v>40</v>
      </c>
      <c r="H103" t="s">
        <v>37</v>
      </c>
      <c r="I103">
        <v>0</v>
      </c>
      <c r="J103" t="str">
        <f t="shared" si="6"/>
        <v>Level 2</v>
      </c>
      <c r="K103" t="str">
        <f t="shared" si="7"/>
        <v>Level 3</v>
      </c>
      <c r="L103" t="str">
        <f t="shared" si="8"/>
        <v>Level 1</v>
      </c>
      <c r="N103" t="s">
        <v>60</v>
      </c>
      <c r="O103" t="s">
        <v>61</v>
      </c>
      <c r="P103" t="s">
        <v>59</v>
      </c>
    </row>
    <row r="104" spans="1:16" x14ac:dyDescent="0.45">
      <c r="A104" t="s">
        <v>9</v>
      </c>
      <c r="B104" t="s">
        <v>1</v>
      </c>
      <c r="C104">
        <v>1</v>
      </c>
      <c r="D104" t="s">
        <v>11</v>
      </c>
      <c r="E104">
        <v>1</v>
      </c>
      <c r="F104" t="s">
        <v>11</v>
      </c>
      <c r="G104" t="s">
        <v>38</v>
      </c>
      <c r="H104" t="s">
        <v>38</v>
      </c>
      <c r="I104">
        <v>0</v>
      </c>
      <c r="J104" t="str">
        <f t="shared" si="6"/>
        <v>None of</v>
      </c>
      <c r="K104" t="str">
        <f t="shared" si="7"/>
        <v>Level 2</v>
      </c>
      <c r="L104" t="str">
        <f t="shared" si="8"/>
        <v>Level 2</v>
      </c>
      <c r="N104" t="s">
        <v>60</v>
      </c>
      <c r="O104" t="s">
        <v>61</v>
      </c>
      <c r="P104" t="s">
        <v>59</v>
      </c>
    </row>
    <row r="105" spans="1:16" x14ac:dyDescent="0.45">
      <c r="A105" t="s">
        <v>0</v>
      </c>
      <c r="B105" t="s">
        <v>1</v>
      </c>
      <c r="C105">
        <v>2</v>
      </c>
      <c r="D105" t="s">
        <v>2</v>
      </c>
      <c r="E105">
        <v>4</v>
      </c>
      <c r="F105" t="s">
        <v>41</v>
      </c>
      <c r="G105" t="s">
        <v>42</v>
      </c>
      <c r="H105" t="s">
        <v>43</v>
      </c>
      <c r="I105">
        <f>IF(D105="Fear",1,0)</f>
        <v>1</v>
      </c>
      <c r="J105" t="str">
        <f t="shared" si="6"/>
        <v>Level 2</v>
      </c>
      <c r="K105" t="str">
        <f t="shared" si="7"/>
        <v>Level 1</v>
      </c>
      <c r="L105" t="str">
        <f t="shared" si="8"/>
        <v>Level 3</v>
      </c>
      <c r="N105" t="s">
        <v>60</v>
      </c>
      <c r="O105" t="s">
        <v>59</v>
      </c>
      <c r="P105" t="s">
        <v>61</v>
      </c>
    </row>
    <row r="106" spans="1:16" x14ac:dyDescent="0.45">
      <c r="A106" t="s">
        <v>9</v>
      </c>
      <c r="B106" t="s">
        <v>8</v>
      </c>
      <c r="C106">
        <v>4</v>
      </c>
      <c r="D106" t="s">
        <v>5</v>
      </c>
      <c r="E106">
        <v>4</v>
      </c>
      <c r="F106" t="s">
        <v>41</v>
      </c>
      <c r="G106" t="s">
        <v>42</v>
      </c>
      <c r="H106" t="s">
        <v>43</v>
      </c>
      <c r="I106">
        <f t="shared" ref="I106:I134" si="9">IF(D106="Fear",1,0)</f>
        <v>0</v>
      </c>
      <c r="J106" t="str">
        <f t="shared" si="6"/>
        <v>Level 2</v>
      </c>
      <c r="K106" t="str">
        <f t="shared" si="7"/>
        <v>Level 1</v>
      </c>
      <c r="L106" t="str">
        <f t="shared" si="8"/>
        <v>Level 3</v>
      </c>
      <c r="N106" t="s">
        <v>60</v>
      </c>
      <c r="O106" t="s">
        <v>59</v>
      </c>
      <c r="P106" t="s">
        <v>61</v>
      </c>
    </row>
    <row r="107" spans="1:16" x14ac:dyDescent="0.45">
      <c r="A107" t="s">
        <v>0</v>
      </c>
      <c r="B107" t="s">
        <v>1</v>
      </c>
      <c r="C107">
        <v>1</v>
      </c>
      <c r="D107" t="s">
        <v>29</v>
      </c>
      <c r="E107">
        <v>3</v>
      </c>
      <c r="F107" t="s">
        <v>41</v>
      </c>
      <c r="G107" t="s">
        <v>41</v>
      </c>
      <c r="H107" t="s">
        <v>41</v>
      </c>
      <c r="I107">
        <f t="shared" si="9"/>
        <v>0</v>
      </c>
      <c r="J107" t="str">
        <f t="shared" si="6"/>
        <v>Level 2</v>
      </c>
      <c r="K107" t="str">
        <f t="shared" si="7"/>
        <v>Level 2</v>
      </c>
      <c r="L107" t="str">
        <f t="shared" si="8"/>
        <v>Level 2</v>
      </c>
      <c r="N107" t="s">
        <v>60</v>
      </c>
      <c r="O107" t="s">
        <v>59</v>
      </c>
      <c r="P107" t="s">
        <v>61</v>
      </c>
    </row>
    <row r="108" spans="1:16" x14ac:dyDescent="0.45">
      <c r="A108" t="s">
        <v>0</v>
      </c>
      <c r="B108" t="s">
        <v>1</v>
      </c>
      <c r="C108">
        <v>5</v>
      </c>
      <c r="D108" t="s">
        <v>11</v>
      </c>
      <c r="E108">
        <v>2</v>
      </c>
      <c r="F108" t="s">
        <v>41</v>
      </c>
      <c r="G108" t="s">
        <v>42</v>
      </c>
      <c r="H108" t="s">
        <v>42</v>
      </c>
      <c r="I108">
        <f t="shared" si="9"/>
        <v>0</v>
      </c>
      <c r="J108" t="str">
        <f t="shared" si="6"/>
        <v>Level 2</v>
      </c>
      <c r="K108" t="str">
        <f t="shared" si="7"/>
        <v>Level 1</v>
      </c>
      <c r="L108" t="str">
        <f t="shared" si="8"/>
        <v>Level 1</v>
      </c>
      <c r="N108" t="s">
        <v>60</v>
      </c>
      <c r="O108" t="s">
        <v>59</v>
      </c>
      <c r="P108" t="s">
        <v>61</v>
      </c>
    </row>
    <row r="109" spans="1:16" x14ac:dyDescent="0.45">
      <c r="A109" t="s">
        <v>0</v>
      </c>
      <c r="B109" t="s">
        <v>8</v>
      </c>
      <c r="C109">
        <v>4</v>
      </c>
      <c r="D109" t="s">
        <v>2</v>
      </c>
      <c r="E109">
        <v>5</v>
      </c>
      <c r="F109" t="s">
        <v>43</v>
      </c>
      <c r="G109" t="s">
        <v>42</v>
      </c>
      <c r="H109" t="s">
        <v>41</v>
      </c>
      <c r="I109">
        <f t="shared" si="9"/>
        <v>1</v>
      </c>
      <c r="J109" t="str">
        <f t="shared" si="6"/>
        <v>Level 3</v>
      </c>
      <c r="K109" t="str">
        <f t="shared" si="7"/>
        <v>Level 1</v>
      </c>
      <c r="L109" t="str">
        <f t="shared" si="8"/>
        <v>Level 2</v>
      </c>
      <c r="N109" t="s">
        <v>60</v>
      </c>
      <c r="O109" t="s">
        <v>59</v>
      </c>
      <c r="P109" t="s">
        <v>61</v>
      </c>
    </row>
    <row r="110" spans="1:16" x14ac:dyDescent="0.45">
      <c r="A110" t="s">
        <v>0</v>
      </c>
      <c r="B110" t="s">
        <v>1</v>
      </c>
      <c r="C110">
        <v>2</v>
      </c>
      <c r="D110" t="s">
        <v>2</v>
      </c>
      <c r="E110">
        <v>3</v>
      </c>
      <c r="F110" t="s">
        <v>43</v>
      </c>
      <c r="G110" t="s">
        <v>42</v>
      </c>
      <c r="H110" t="s">
        <v>41</v>
      </c>
      <c r="I110">
        <f t="shared" si="9"/>
        <v>1</v>
      </c>
      <c r="J110" t="str">
        <f t="shared" si="6"/>
        <v>Level 3</v>
      </c>
      <c r="K110" t="str">
        <f t="shared" si="7"/>
        <v>Level 1</v>
      </c>
      <c r="L110" t="str">
        <f t="shared" si="8"/>
        <v>Level 2</v>
      </c>
      <c r="N110" t="s">
        <v>60</v>
      </c>
      <c r="O110" t="s">
        <v>59</v>
      </c>
      <c r="P110" t="s">
        <v>61</v>
      </c>
    </row>
    <row r="111" spans="1:16" x14ac:dyDescent="0.45">
      <c r="A111" t="s">
        <v>9</v>
      </c>
      <c r="B111" t="s">
        <v>1</v>
      </c>
      <c r="C111">
        <v>4</v>
      </c>
      <c r="D111" t="s">
        <v>2</v>
      </c>
      <c r="E111">
        <v>4</v>
      </c>
      <c r="F111" t="s">
        <v>43</v>
      </c>
      <c r="G111" t="s">
        <v>42</v>
      </c>
      <c r="H111" t="s">
        <v>41</v>
      </c>
      <c r="I111">
        <f t="shared" si="9"/>
        <v>1</v>
      </c>
      <c r="J111" t="str">
        <f t="shared" si="6"/>
        <v>Level 3</v>
      </c>
      <c r="K111" t="str">
        <f t="shared" si="7"/>
        <v>Level 1</v>
      </c>
      <c r="L111" t="str">
        <f t="shared" si="8"/>
        <v>Level 2</v>
      </c>
      <c r="N111" t="s">
        <v>60</v>
      </c>
      <c r="O111" t="s">
        <v>59</v>
      </c>
      <c r="P111" t="s">
        <v>61</v>
      </c>
    </row>
    <row r="112" spans="1:16" x14ac:dyDescent="0.45">
      <c r="A112" t="s">
        <v>7</v>
      </c>
      <c r="B112" t="s">
        <v>1</v>
      </c>
      <c r="C112">
        <v>4</v>
      </c>
      <c r="D112" t="s">
        <v>2</v>
      </c>
      <c r="E112">
        <v>5</v>
      </c>
      <c r="F112" t="s">
        <v>43</v>
      </c>
      <c r="G112" t="s">
        <v>42</v>
      </c>
      <c r="H112" t="s">
        <v>41</v>
      </c>
      <c r="I112">
        <f t="shared" si="9"/>
        <v>1</v>
      </c>
      <c r="J112" t="str">
        <f t="shared" si="6"/>
        <v>Level 3</v>
      </c>
      <c r="K112" t="str">
        <f t="shared" si="7"/>
        <v>Level 1</v>
      </c>
      <c r="L112" t="str">
        <f t="shared" si="8"/>
        <v>Level 2</v>
      </c>
      <c r="N112" t="s">
        <v>60</v>
      </c>
      <c r="O112" t="s">
        <v>59</v>
      </c>
      <c r="P112" t="s">
        <v>61</v>
      </c>
    </row>
    <row r="113" spans="1:16" x14ac:dyDescent="0.45">
      <c r="A113" t="s">
        <v>0</v>
      </c>
      <c r="B113" t="s">
        <v>1</v>
      </c>
      <c r="C113">
        <v>3</v>
      </c>
      <c r="D113" t="s">
        <v>2</v>
      </c>
      <c r="E113">
        <v>5</v>
      </c>
      <c r="F113" t="s">
        <v>43</v>
      </c>
      <c r="G113" t="s">
        <v>41</v>
      </c>
      <c r="H113" t="s">
        <v>11</v>
      </c>
      <c r="I113">
        <f t="shared" si="9"/>
        <v>1</v>
      </c>
      <c r="J113" t="str">
        <f t="shared" si="6"/>
        <v>Level 3</v>
      </c>
      <c r="K113" t="str">
        <f t="shared" si="7"/>
        <v>Level 2</v>
      </c>
      <c r="L113" t="str">
        <f t="shared" si="8"/>
        <v>None of</v>
      </c>
      <c r="N113" t="s">
        <v>60</v>
      </c>
      <c r="O113" t="s">
        <v>59</v>
      </c>
      <c r="P113" t="s">
        <v>61</v>
      </c>
    </row>
    <row r="114" spans="1:16" x14ac:dyDescent="0.45">
      <c r="A114" t="s">
        <v>9</v>
      </c>
      <c r="B114" t="s">
        <v>1</v>
      </c>
      <c r="C114">
        <v>3</v>
      </c>
      <c r="D114" t="s">
        <v>2</v>
      </c>
      <c r="E114">
        <v>5</v>
      </c>
      <c r="F114" t="s">
        <v>43</v>
      </c>
      <c r="G114" t="s">
        <v>42</v>
      </c>
      <c r="H114" t="s">
        <v>41</v>
      </c>
      <c r="I114">
        <f t="shared" si="9"/>
        <v>1</v>
      </c>
      <c r="J114" t="str">
        <f t="shared" si="6"/>
        <v>Level 3</v>
      </c>
      <c r="K114" t="str">
        <f t="shared" si="7"/>
        <v>Level 1</v>
      </c>
      <c r="L114" t="str">
        <f t="shared" si="8"/>
        <v>Level 2</v>
      </c>
      <c r="N114" t="s">
        <v>60</v>
      </c>
      <c r="O114" t="s">
        <v>59</v>
      </c>
      <c r="P114" t="s">
        <v>61</v>
      </c>
    </row>
    <row r="115" spans="1:16" x14ac:dyDescent="0.45">
      <c r="A115" t="s">
        <v>0</v>
      </c>
      <c r="B115" t="s">
        <v>1</v>
      </c>
      <c r="C115">
        <v>2</v>
      </c>
      <c r="D115" t="s">
        <v>2</v>
      </c>
      <c r="E115">
        <v>2</v>
      </c>
      <c r="F115" t="s">
        <v>43</v>
      </c>
      <c r="G115" t="s">
        <v>42</v>
      </c>
      <c r="H115" t="s">
        <v>41</v>
      </c>
      <c r="I115">
        <f t="shared" si="9"/>
        <v>1</v>
      </c>
      <c r="J115" t="str">
        <f t="shared" si="6"/>
        <v>Level 3</v>
      </c>
      <c r="K115" t="str">
        <f t="shared" si="7"/>
        <v>Level 1</v>
      </c>
      <c r="L115" t="str">
        <f t="shared" si="8"/>
        <v>Level 2</v>
      </c>
      <c r="N115" t="s">
        <v>60</v>
      </c>
      <c r="O115" t="s">
        <v>59</v>
      </c>
      <c r="P115" t="s">
        <v>61</v>
      </c>
    </row>
    <row r="116" spans="1:16" x14ac:dyDescent="0.45">
      <c r="A116" t="s">
        <v>0</v>
      </c>
      <c r="B116" t="s">
        <v>8</v>
      </c>
      <c r="C116">
        <v>3</v>
      </c>
      <c r="D116" t="s">
        <v>2</v>
      </c>
      <c r="E116">
        <v>4</v>
      </c>
      <c r="F116" t="s">
        <v>41</v>
      </c>
      <c r="G116" t="s">
        <v>42</v>
      </c>
      <c r="H116" t="s">
        <v>43</v>
      </c>
      <c r="I116">
        <f t="shared" si="9"/>
        <v>1</v>
      </c>
      <c r="J116" t="str">
        <f t="shared" si="6"/>
        <v>Level 2</v>
      </c>
      <c r="K116" t="str">
        <f t="shared" si="7"/>
        <v>Level 1</v>
      </c>
      <c r="L116" t="str">
        <f t="shared" si="8"/>
        <v>Level 3</v>
      </c>
      <c r="N116" t="s">
        <v>60</v>
      </c>
      <c r="O116" t="s">
        <v>59</v>
      </c>
      <c r="P116" t="s">
        <v>61</v>
      </c>
    </row>
    <row r="117" spans="1:16" x14ac:dyDescent="0.45">
      <c r="A117" t="s">
        <v>9</v>
      </c>
      <c r="B117" t="s">
        <v>8</v>
      </c>
      <c r="C117">
        <v>3</v>
      </c>
      <c r="D117" t="s">
        <v>5</v>
      </c>
      <c r="E117">
        <v>4</v>
      </c>
      <c r="F117" t="s">
        <v>43</v>
      </c>
      <c r="G117" t="s">
        <v>42</v>
      </c>
      <c r="H117" t="s">
        <v>41</v>
      </c>
      <c r="I117">
        <f t="shared" si="9"/>
        <v>0</v>
      </c>
      <c r="J117" t="str">
        <f t="shared" si="6"/>
        <v>Level 3</v>
      </c>
      <c r="K117" t="str">
        <f t="shared" si="7"/>
        <v>Level 1</v>
      </c>
      <c r="L117" t="str">
        <f t="shared" si="8"/>
        <v>Level 2</v>
      </c>
      <c r="N117" t="s">
        <v>60</v>
      </c>
      <c r="O117" t="s">
        <v>59</v>
      </c>
      <c r="P117" t="s">
        <v>61</v>
      </c>
    </row>
    <row r="118" spans="1:16" x14ac:dyDescent="0.45">
      <c r="A118" t="s">
        <v>9</v>
      </c>
      <c r="B118" t="s">
        <v>8</v>
      </c>
      <c r="C118">
        <v>4</v>
      </c>
      <c r="D118" t="s">
        <v>2</v>
      </c>
      <c r="E118">
        <v>5</v>
      </c>
      <c r="F118" t="s">
        <v>41</v>
      </c>
      <c r="G118" t="s">
        <v>42</v>
      </c>
      <c r="H118" t="s">
        <v>43</v>
      </c>
      <c r="I118">
        <f t="shared" si="9"/>
        <v>1</v>
      </c>
      <c r="J118" t="str">
        <f t="shared" si="6"/>
        <v>Level 2</v>
      </c>
      <c r="K118" t="str">
        <f t="shared" si="7"/>
        <v>Level 1</v>
      </c>
      <c r="L118" t="str">
        <f t="shared" si="8"/>
        <v>Level 3</v>
      </c>
      <c r="N118" t="s">
        <v>60</v>
      </c>
      <c r="O118" t="s">
        <v>59</v>
      </c>
      <c r="P118" t="s">
        <v>61</v>
      </c>
    </row>
    <row r="119" spans="1:16" x14ac:dyDescent="0.45">
      <c r="A119" t="s">
        <v>9</v>
      </c>
      <c r="B119" t="s">
        <v>8</v>
      </c>
      <c r="C119">
        <v>2</v>
      </c>
      <c r="D119" t="s">
        <v>2</v>
      </c>
      <c r="E119">
        <v>4</v>
      </c>
      <c r="F119" t="s">
        <v>43</v>
      </c>
      <c r="G119" t="s">
        <v>42</v>
      </c>
      <c r="H119" t="s">
        <v>41</v>
      </c>
      <c r="I119">
        <f t="shared" si="9"/>
        <v>1</v>
      </c>
      <c r="J119" t="str">
        <f t="shared" si="6"/>
        <v>Level 3</v>
      </c>
      <c r="K119" t="str">
        <f t="shared" si="7"/>
        <v>Level 1</v>
      </c>
      <c r="L119" t="str">
        <f t="shared" si="8"/>
        <v>Level 2</v>
      </c>
      <c r="N119" t="s">
        <v>60</v>
      </c>
      <c r="O119" t="s">
        <v>59</v>
      </c>
      <c r="P119" t="s">
        <v>61</v>
      </c>
    </row>
    <row r="120" spans="1:16" x14ac:dyDescent="0.45">
      <c r="A120" t="s">
        <v>0</v>
      </c>
      <c r="B120" t="s">
        <v>8</v>
      </c>
      <c r="C120">
        <v>3</v>
      </c>
      <c r="D120" t="s">
        <v>34</v>
      </c>
      <c r="E120">
        <v>4</v>
      </c>
      <c r="F120" t="s">
        <v>43</v>
      </c>
      <c r="G120" t="s">
        <v>42</v>
      </c>
      <c r="H120" t="s">
        <v>41</v>
      </c>
      <c r="I120">
        <f t="shared" si="9"/>
        <v>0</v>
      </c>
      <c r="J120" t="str">
        <f t="shared" si="6"/>
        <v>Level 3</v>
      </c>
      <c r="K120" t="str">
        <f t="shared" si="7"/>
        <v>Level 1</v>
      </c>
      <c r="L120" t="str">
        <f t="shared" si="8"/>
        <v>Level 2</v>
      </c>
      <c r="N120" t="s">
        <v>60</v>
      </c>
      <c r="O120" t="s">
        <v>59</v>
      </c>
      <c r="P120" t="s">
        <v>61</v>
      </c>
    </row>
    <row r="121" spans="1:16" x14ac:dyDescent="0.45">
      <c r="A121" t="s">
        <v>9</v>
      </c>
      <c r="B121" t="s">
        <v>8</v>
      </c>
      <c r="C121">
        <v>5</v>
      </c>
      <c r="D121" t="s">
        <v>2</v>
      </c>
      <c r="E121">
        <v>5</v>
      </c>
      <c r="F121" t="s">
        <v>41</v>
      </c>
      <c r="G121" t="s">
        <v>42</v>
      </c>
      <c r="H121" t="s">
        <v>43</v>
      </c>
      <c r="I121">
        <f t="shared" si="9"/>
        <v>1</v>
      </c>
      <c r="J121" t="str">
        <f t="shared" si="6"/>
        <v>Level 2</v>
      </c>
      <c r="K121" t="str">
        <f t="shared" si="7"/>
        <v>Level 1</v>
      </c>
      <c r="L121" t="str">
        <f t="shared" si="8"/>
        <v>Level 3</v>
      </c>
      <c r="N121" t="s">
        <v>60</v>
      </c>
      <c r="O121" t="s">
        <v>59</v>
      </c>
      <c r="P121" t="s">
        <v>61</v>
      </c>
    </row>
    <row r="122" spans="1:16" x14ac:dyDescent="0.45">
      <c r="A122" t="s">
        <v>9</v>
      </c>
      <c r="B122" t="s">
        <v>1</v>
      </c>
      <c r="C122">
        <v>3</v>
      </c>
      <c r="D122" t="s">
        <v>2</v>
      </c>
      <c r="E122">
        <v>3</v>
      </c>
      <c r="F122" t="s">
        <v>43</v>
      </c>
      <c r="G122" t="s">
        <v>41</v>
      </c>
      <c r="H122" t="s">
        <v>11</v>
      </c>
      <c r="I122">
        <f t="shared" si="9"/>
        <v>1</v>
      </c>
      <c r="J122" t="str">
        <f t="shared" si="6"/>
        <v>Level 3</v>
      </c>
      <c r="K122" t="str">
        <f t="shared" si="7"/>
        <v>Level 2</v>
      </c>
      <c r="L122" t="str">
        <f t="shared" si="8"/>
        <v>None of</v>
      </c>
      <c r="N122" t="s">
        <v>60</v>
      </c>
      <c r="O122" t="s">
        <v>59</v>
      </c>
      <c r="P122" t="s">
        <v>61</v>
      </c>
    </row>
    <row r="123" spans="1:16" x14ac:dyDescent="0.45">
      <c r="A123" t="s">
        <v>9</v>
      </c>
      <c r="B123" t="s">
        <v>1</v>
      </c>
      <c r="C123">
        <v>5</v>
      </c>
      <c r="D123" t="s">
        <v>2</v>
      </c>
      <c r="E123">
        <v>5</v>
      </c>
      <c r="F123" t="s">
        <v>43</v>
      </c>
      <c r="G123" t="s">
        <v>42</v>
      </c>
      <c r="H123" t="s">
        <v>41</v>
      </c>
      <c r="I123">
        <f t="shared" si="9"/>
        <v>1</v>
      </c>
      <c r="J123" t="str">
        <f t="shared" si="6"/>
        <v>Level 3</v>
      </c>
      <c r="K123" t="str">
        <f t="shared" si="7"/>
        <v>Level 1</v>
      </c>
      <c r="L123" t="str">
        <f t="shared" si="8"/>
        <v>Level 2</v>
      </c>
      <c r="N123" t="s">
        <v>60</v>
      </c>
      <c r="O123" t="s">
        <v>59</v>
      </c>
      <c r="P123" t="s">
        <v>61</v>
      </c>
    </row>
    <row r="124" spans="1:16" x14ac:dyDescent="0.45">
      <c r="A124" t="s">
        <v>7</v>
      </c>
      <c r="B124" t="s">
        <v>1</v>
      </c>
      <c r="C124">
        <v>1</v>
      </c>
      <c r="D124" t="s">
        <v>11</v>
      </c>
      <c r="E124">
        <v>1</v>
      </c>
      <c r="F124" t="s">
        <v>41</v>
      </c>
      <c r="G124" t="s">
        <v>42</v>
      </c>
      <c r="H124" t="s">
        <v>41</v>
      </c>
      <c r="I124">
        <f t="shared" si="9"/>
        <v>0</v>
      </c>
      <c r="J124" t="str">
        <f t="shared" si="6"/>
        <v>Level 2</v>
      </c>
      <c r="K124" t="str">
        <f t="shared" si="7"/>
        <v>Level 1</v>
      </c>
      <c r="L124" t="str">
        <f t="shared" si="8"/>
        <v>Level 2</v>
      </c>
      <c r="N124" t="s">
        <v>60</v>
      </c>
      <c r="O124" t="s">
        <v>59</v>
      </c>
      <c r="P124" t="s">
        <v>61</v>
      </c>
    </row>
    <row r="125" spans="1:16" x14ac:dyDescent="0.45">
      <c r="A125" t="s">
        <v>7</v>
      </c>
      <c r="B125" t="s">
        <v>1</v>
      </c>
      <c r="C125">
        <v>1</v>
      </c>
      <c r="D125" t="s">
        <v>2</v>
      </c>
      <c r="E125">
        <v>5</v>
      </c>
      <c r="F125" t="s">
        <v>41</v>
      </c>
      <c r="G125" t="s">
        <v>42</v>
      </c>
      <c r="H125" t="s">
        <v>41</v>
      </c>
      <c r="I125">
        <f t="shared" si="9"/>
        <v>1</v>
      </c>
      <c r="J125" t="str">
        <f t="shared" si="6"/>
        <v>Level 2</v>
      </c>
      <c r="K125" t="str">
        <f t="shared" si="7"/>
        <v>Level 1</v>
      </c>
      <c r="L125" t="str">
        <f t="shared" si="8"/>
        <v>Level 2</v>
      </c>
      <c r="N125" t="s">
        <v>60</v>
      </c>
      <c r="O125" t="s">
        <v>59</v>
      </c>
      <c r="P125" t="s">
        <v>61</v>
      </c>
    </row>
    <row r="126" spans="1:16" x14ac:dyDescent="0.45">
      <c r="A126" t="s">
        <v>7</v>
      </c>
      <c r="B126" t="s">
        <v>8</v>
      </c>
      <c r="C126">
        <v>1</v>
      </c>
      <c r="D126" t="s">
        <v>2</v>
      </c>
      <c r="E126">
        <v>5</v>
      </c>
      <c r="F126" t="s">
        <v>41</v>
      </c>
      <c r="G126" t="s">
        <v>41</v>
      </c>
      <c r="H126" t="s">
        <v>43</v>
      </c>
      <c r="I126">
        <f t="shared" si="9"/>
        <v>1</v>
      </c>
      <c r="J126" t="str">
        <f t="shared" si="6"/>
        <v>Level 2</v>
      </c>
      <c r="K126" t="str">
        <f t="shared" si="7"/>
        <v>Level 2</v>
      </c>
      <c r="L126" t="str">
        <f t="shared" si="8"/>
        <v>Level 3</v>
      </c>
      <c r="N126" t="s">
        <v>60</v>
      </c>
      <c r="O126" t="s">
        <v>59</v>
      </c>
      <c r="P126" t="s">
        <v>61</v>
      </c>
    </row>
    <row r="127" spans="1:16" x14ac:dyDescent="0.45">
      <c r="A127" t="s">
        <v>9</v>
      </c>
      <c r="B127" t="s">
        <v>8</v>
      </c>
      <c r="C127">
        <v>2</v>
      </c>
      <c r="D127" t="s">
        <v>2</v>
      </c>
      <c r="E127">
        <v>5</v>
      </c>
      <c r="F127" t="s">
        <v>41</v>
      </c>
      <c r="G127" t="s">
        <v>42</v>
      </c>
      <c r="H127" t="s">
        <v>41</v>
      </c>
      <c r="I127">
        <f t="shared" si="9"/>
        <v>1</v>
      </c>
      <c r="J127" t="str">
        <f t="shared" si="6"/>
        <v>Level 2</v>
      </c>
      <c r="K127" t="str">
        <f t="shared" si="7"/>
        <v>Level 1</v>
      </c>
      <c r="L127" t="str">
        <f t="shared" si="8"/>
        <v>Level 2</v>
      </c>
      <c r="N127" t="s">
        <v>60</v>
      </c>
      <c r="O127" t="s">
        <v>59</v>
      </c>
      <c r="P127" t="s">
        <v>61</v>
      </c>
    </row>
    <row r="128" spans="1:16" x14ac:dyDescent="0.45">
      <c r="A128" t="s">
        <v>0</v>
      </c>
      <c r="B128" t="s">
        <v>8</v>
      </c>
      <c r="C128">
        <v>1</v>
      </c>
      <c r="D128" t="s">
        <v>5</v>
      </c>
      <c r="E128">
        <v>2</v>
      </c>
      <c r="F128" t="s">
        <v>41</v>
      </c>
      <c r="G128" t="s">
        <v>42</v>
      </c>
      <c r="H128" t="s">
        <v>43</v>
      </c>
      <c r="I128">
        <f t="shared" si="9"/>
        <v>0</v>
      </c>
      <c r="J128" t="str">
        <f t="shared" si="6"/>
        <v>Level 2</v>
      </c>
      <c r="K128" t="str">
        <f t="shared" si="7"/>
        <v>Level 1</v>
      </c>
      <c r="L128" t="str">
        <f t="shared" si="8"/>
        <v>Level 3</v>
      </c>
      <c r="N128" t="s">
        <v>60</v>
      </c>
      <c r="O128" t="s">
        <v>59</v>
      </c>
      <c r="P128" t="s">
        <v>61</v>
      </c>
    </row>
    <row r="129" spans="1:16" x14ac:dyDescent="0.45">
      <c r="A129" t="s">
        <v>9</v>
      </c>
      <c r="B129" t="s">
        <v>8</v>
      </c>
      <c r="C129">
        <v>2</v>
      </c>
      <c r="D129" t="s">
        <v>5</v>
      </c>
      <c r="E129">
        <v>3</v>
      </c>
      <c r="F129" t="s">
        <v>41</v>
      </c>
      <c r="G129" t="s">
        <v>42</v>
      </c>
      <c r="H129" t="s">
        <v>43</v>
      </c>
      <c r="I129">
        <f t="shared" si="9"/>
        <v>0</v>
      </c>
      <c r="J129" t="str">
        <f t="shared" si="6"/>
        <v>Level 2</v>
      </c>
      <c r="K129" t="str">
        <f t="shared" si="7"/>
        <v>Level 1</v>
      </c>
      <c r="L129" t="str">
        <f t="shared" si="8"/>
        <v>Level 3</v>
      </c>
      <c r="N129" t="s">
        <v>60</v>
      </c>
      <c r="O129" t="s">
        <v>59</v>
      </c>
      <c r="P129" t="s">
        <v>61</v>
      </c>
    </row>
    <row r="130" spans="1:16" x14ac:dyDescent="0.45">
      <c r="A130" t="s">
        <v>9</v>
      </c>
      <c r="B130" t="s">
        <v>8</v>
      </c>
      <c r="C130">
        <v>1</v>
      </c>
      <c r="D130" t="s">
        <v>2</v>
      </c>
      <c r="E130">
        <v>5</v>
      </c>
      <c r="F130" t="s">
        <v>43</v>
      </c>
      <c r="G130" t="s">
        <v>42</v>
      </c>
      <c r="H130" t="s">
        <v>41</v>
      </c>
      <c r="I130">
        <f t="shared" si="9"/>
        <v>1</v>
      </c>
      <c r="J130" t="str">
        <f t="shared" si="6"/>
        <v>Level 3</v>
      </c>
      <c r="K130" t="str">
        <f t="shared" si="7"/>
        <v>Level 1</v>
      </c>
      <c r="L130" t="str">
        <f t="shared" si="8"/>
        <v>Level 2</v>
      </c>
      <c r="N130" t="s">
        <v>60</v>
      </c>
      <c r="O130" t="s">
        <v>59</v>
      </c>
      <c r="P130" t="s">
        <v>61</v>
      </c>
    </row>
    <row r="131" spans="1:16" x14ac:dyDescent="0.45">
      <c r="A131" t="s">
        <v>9</v>
      </c>
      <c r="B131" t="s">
        <v>1</v>
      </c>
      <c r="C131">
        <v>1</v>
      </c>
      <c r="D131" t="s">
        <v>11</v>
      </c>
      <c r="E131">
        <v>1</v>
      </c>
      <c r="F131" t="s">
        <v>43</v>
      </c>
      <c r="G131" t="s">
        <v>42</v>
      </c>
      <c r="H131" t="s">
        <v>41</v>
      </c>
      <c r="I131">
        <f t="shared" si="9"/>
        <v>0</v>
      </c>
      <c r="J131" t="str">
        <f t="shared" ref="J131:J194" si="10">LEFT(F131,7)</f>
        <v>Level 3</v>
      </c>
      <c r="K131" t="str">
        <f t="shared" ref="K131:K194" si="11">LEFT(G131,7)</f>
        <v>Level 1</v>
      </c>
      <c r="L131" t="str">
        <f t="shared" ref="L131:L194" si="12">LEFT(H131,7)</f>
        <v>Level 2</v>
      </c>
      <c r="N131" t="s">
        <v>60</v>
      </c>
      <c r="O131" t="s">
        <v>59</v>
      </c>
      <c r="P131" t="s">
        <v>61</v>
      </c>
    </row>
    <row r="132" spans="1:16" x14ac:dyDescent="0.45">
      <c r="A132" t="s">
        <v>9</v>
      </c>
      <c r="B132" t="s">
        <v>1</v>
      </c>
      <c r="C132">
        <v>3</v>
      </c>
      <c r="D132" t="s">
        <v>2</v>
      </c>
      <c r="E132">
        <v>5</v>
      </c>
      <c r="F132" t="s">
        <v>43</v>
      </c>
      <c r="G132" t="s">
        <v>42</v>
      </c>
      <c r="H132" t="s">
        <v>41</v>
      </c>
      <c r="I132">
        <f t="shared" si="9"/>
        <v>1</v>
      </c>
      <c r="J132" t="str">
        <f t="shared" si="10"/>
        <v>Level 3</v>
      </c>
      <c r="K132" t="str">
        <f t="shared" si="11"/>
        <v>Level 1</v>
      </c>
      <c r="L132" t="str">
        <f t="shared" si="12"/>
        <v>Level 2</v>
      </c>
      <c r="N132" t="s">
        <v>60</v>
      </c>
      <c r="O132" t="s">
        <v>59</v>
      </c>
      <c r="P132" t="s">
        <v>61</v>
      </c>
    </row>
    <row r="133" spans="1:16" x14ac:dyDescent="0.45">
      <c r="A133" t="s">
        <v>0</v>
      </c>
      <c r="B133" t="s">
        <v>8</v>
      </c>
      <c r="C133">
        <v>2</v>
      </c>
      <c r="D133" t="s">
        <v>5</v>
      </c>
      <c r="E133">
        <v>4</v>
      </c>
      <c r="F133" t="s">
        <v>43</v>
      </c>
      <c r="G133" t="s">
        <v>42</v>
      </c>
      <c r="H133" t="s">
        <v>41</v>
      </c>
      <c r="I133">
        <f t="shared" si="9"/>
        <v>0</v>
      </c>
      <c r="J133" t="str">
        <f t="shared" si="10"/>
        <v>Level 3</v>
      </c>
      <c r="K133" t="str">
        <f t="shared" si="11"/>
        <v>Level 1</v>
      </c>
      <c r="L133" t="str">
        <f t="shared" si="12"/>
        <v>Level 2</v>
      </c>
      <c r="N133" t="s">
        <v>60</v>
      </c>
      <c r="O133" t="s">
        <v>59</v>
      </c>
      <c r="P133" t="s">
        <v>61</v>
      </c>
    </row>
    <row r="134" spans="1:16" x14ac:dyDescent="0.45">
      <c r="A134" t="s">
        <v>9</v>
      </c>
      <c r="B134" t="s">
        <v>1</v>
      </c>
      <c r="C134">
        <v>3</v>
      </c>
      <c r="D134" t="s">
        <v>2</v>
      </c>
      <c r="E134">
        <v>5</v>
      </c>
      <c r="F134" t="s">
        <v>43</v>
      </c>
      <c r="G134" t="s">
        <v>42</v>
      </c>
      <c r="H134" t="s">
        <v>41</v>
      </c>
      <c r="I134">
        <f t="shared" si="9"/>
        <v>1</v>
      </c>
      <c r="J134" t="str">
        <f t="shared" si="10"/>
        <v>Level 3</v>
      </c>
      <c r="K134" t="str">
        <f t="shared" si="11"/>
        <v>Level 1</v>
      </c>
      <c r="L134" t="str">
        <f t="shared" si="12"/>
        <v>Level 2</v>
      </c>
      <c r="N134" t="s">
        <v>60</v>
      </c>
      <c r="O134" t="s">
        <v>59</v>
      </c>
      <c r="P134" t="s">
        <v>61</v>
      </c>
    </row>
    <row r="135" spans="1:16" x14ac:dyDescent="0.45">
      <c r="A135" t="s">
        <v>9</v>
      </c>
      <c r="B135" t="s">
        <v>1</v>
      </c>
      <c r="C135">
        <v>3</v>
      </c>
      <c r="D135" t="s">
        <v>34</v>
      </c>
      <c r="E135">
        <v>5</v>
      </c>
      <c r="F135" t="s">
        <v>44</v>
      </c>
      <c r="G135" t="s">
        <v>45</v>
      </c>
      <c r="H135" t="s">
        <v>11</v>
      </c>
      <c r="I135">
        <f>IF(D135="Joy",1,0)</f>
        <v>1</v>
      </c>
      <c r="J135" t="str">
        <f t="shared" si="10"/>
        <v>Level 3</v>
      </c>
      <c r="K135" t="str">
        <f t="shared" si="11"/>
        <v>Level 1</v>
      </c>
      <c r="L135" t="str">
        <f t="shared" si="12"/>
        <v>None of</v>
      </c>
      <c r="N135" t="s">
        <v>60</v>
      </c>
      <c r="O135" t="s">
        <v>61</v>
      </c>
      <c r="P135" t="s">
        <v>59</v>
      </c>
    </row>
    <row r="136" spans="1:16" x14ac:dyDescent="0.45">
      <c r="A136" t="s">
        <v>9</v>
      </c>
      <c r="B136" t="s">
        <v>8</v>
      </c>
      <c r="C136">
        <v>1</v>
      </c>
      <c r="D136" t="s">
        <v>5</v>
      </c>
      <c r="E136">
        <v>4</v>
      </c>
      <c r="F136" t="s">
        <v>44</v>
      </c>
      <c r="G136" t="s">
        <v>45</v>
      </c>
      <c r="H136" t="s">
        <v>11</v>
      </c>
      <c r="I136">
        <f t="shared" ref="I136:I162" si="13">IF(D136="Joy",1,0)</f>
        <v>0</v>
      </c>
      <c r="J136" t="str">
        <f t="shared" si="10"/>
        <v>Level 3</v>
      </c>
      <c r="K136" t="str">
        <f t="shared" si="11"/>
        <v>Level 1</v>
      </c>
      <c r="L136" t="str">
        <f t="shared" si="12"/>
        <v>None of</v>
      </c>
      <c r="N136" t="s">
        <v>60</v>
      </c>
      <c r="O136" t="s">
        <v>61</v>
      </c>
      <c r="P136" t="s">
        <v>59</v>
      </c>
    </row>
    <row r="137" spans="1:16" x14ac:dyDescent="0.45">
      <c r="A137" t="s">
        <v>0</v>
      </c>
      <c r="B137" t="s">
        <v>8</v>
      </c>
      <c r="C137">
        <v>4</v>
      </c>
      <c r="D137" t="s">
        <v>34</v>
      </c>
      <c r="E137">
        <v>5</v>
      </c>
      <c r="F137" t="s">
        <v>44</v>
      </c>
      <c r="G137" t="s">
        <v>46</v>
      </c>
      <c r="H137" t="s">
        <v>45</v>
      </c>
      <c r="I137">
        <f t="shared" si="13"/>
        <v>1</v>
      </c>
      <c r="J137" t="str">
        <f t="shared" si="10"/>
        <v>Level 3</v>
      </c>
      <c r="K137" t="str">
        <f t="shared" si="11"/>
        <v>Level 2</v>
      </c>
      <c r="L137" t="str">
        <f t="shared" si="12"/>
        <v>Level 1</v>
      </c>
      <c r="N137" t="s">
        <v>60</v>
      </c>
      <c r="O137" t="s">
        <v>61</v>
      </c>
      <c r="P137" t="s">
        <v>59</v>
      </c>
    </row>
    <row r="138" spans="1:16" x14ac:dyDescent="0.45">
      <c r="A138" t="s">
        <v>7</v>
      </c>
      <c r="B138" t="s">
        <v>1</v>
      </c>
      <c r="C138">
        <v>3</v>
      </c>
      <c r="D138" t="s">
        <v>33</v>
      </c>
      <c r="E138">
        <v>3</v>
      </c>
      <c r="F138" t="s">
        <v>44</v>
      </c>
      <c r="G138" t="s">
        <v>45</v>
      </c>
      <c r="H138" t="s">
        <v>45</v>
      </c>
      <c r="I138">
        <f t="shared" si="13"/>
        <v>0</v>
      </c>
      <c r="J138" t="str">
        <f t="shared" si="10"/>
        <v>Level 3</v>
      </c>
      <c r="K138" t="str">
        <f t="shared" si="11"/>
        <v>Level 1</v>
      </c>
      <c r="L138" t="str">
        <f t="shared" si="12"/>
        <v>Level 1</v>
      </c>
      <c r="N138" t="s">
        <v>60</v>
      </c>
      <c r="O138" t="s">
        <v>61</v>
      </c>
      <c r="P138" t="s">
        <v>59</v>
      </c>
    </row>
    <row r="139" spans="1:16" x14ac:dyDescent="0.45">
      <c r="A139" t="s">
        <v>0</v>
      </c>
      <c r="B139" t="s">
        <v>1</v>
      </c>
      <c r="C139">
        <v>2</v>
      </c>
      <c r="D139" t="s">
        <v>2</v>
      </c>
      <c r="E139">
        <v>4</v>
      </c>
      <c r="F139" t="s">
        <v>44</v>
      </c>
      <c r="G139" t="s">
        <v>45</v>
      </c>
      <c r="H139" t="s">
        <v>11</v>
      </c>
      <c r="I139">
        <f t="shared" si="13"/>
        <v>0</v>
      </c>
      <c r="J139" t="str">
        <f t="shared" si="10"/>
        <v>Level 3</v>
      </c>
      <c r="K139" t="str">
        <f t="shared" si="11"/>
        <v>Level 1</v>
      </c>
      <c r="L139" t="str">
        <f t="shared" si="12"/>
        <v>None of</v>
      </c>
      <c r="N139" t="s">
        <v>60</v>
      </c>
      <c r="O139" t="s">
        <v>61</v>
      </c>
      <c r="P139" t="s">
        <v>59</v>
      </c>
    </row>
    <row r="140" spans="1:16" x14ac:dyDescent="0.45">
      <c r="A140" t="s">
        <v>0</v>
      </c>
      <c r="B140" t="s">
        <v>1</v>
      </c>
      <c r="C140">
        <v>3</v>
      </c>
      <c r="D140" t="s">
        <v>34</v>
      </c>
      <c r="E140">
        <v>3</v>
      </c>
      <c r="F140" t="s">
        <v>46</v>
      </c>
      <c r="G140" t="s">
        <v>11</v>
      </c>
      <c r="H140" t="s">
        <v>44</v>
      </c>
      <c r="I140">
        <f t="shared" si="13"/>
        <v>1</v>
      </c>
      <c r="J140" t="str">
        <f t="shared" si="10"/>
        <v>Level 2</v>
      </c>
      <c r="K140" t="str">
        <f t="shared" si="11"/>
        <v>None of</v>
      </c>
      <c r="L140" t="str">
        <f t="shared" si="12"/>
        <v>Level 3</v>
      </c>
      <c r="N140" t="s">
        <v>60</v>
      </c>
      <c r="O140" t="s">
        <v>61</v>
      </c>
      <c r="P140" t="s">
        <v>59</v>
      </c>
    </row>
    <row r="141" spans="1:16" x14ac:dyDescent="0.45">
      <c r="A141" t="s">
        <v>9</v>
      </c>
      <c r="B141" t="s">
        <v>8</v>
      </c>
      <c r="C141">
        <v>2</v>
      </c>
      <c r="D141" t="s">
        <v>5</v>
      </c>
      <c r="E141">
        <v>4</v>
      </c>
      <c r="F141" t="s">
        <v>44</v>
      </c>
      <c r="G141" t="s">
        <v>45</v>
      </c>
      <c r="H141" t="s">
        <v>11</v>
      </c>
      <c r="I141">
        <f t="shared" si="13"/>
        <v>0</v>
      </c>
      <c r="J141" t="str">
        <f t="shared" si="10"/>
        <v>Level 3</v>
      </c>
      <c r="K141" t="str">
        <f t="shared" si="11"/>
        <v>Level 1</v>
      </c>
      <c r="L141" t="str">
        <f t="shared" si="12"/>
        <v>None of</v>
      </c>
      <c r="N141" t="s">
        <v>60</v>
      </c>
      <c r="O141" t="s">
        <v>61</v>
      </c>
      <c r="P141" t="s">
        <v>59</v>
      </c>
    </row>
    <row r="142" spans="1:16" x14ac:dyDescent="0.45">
      <c r="A142" t="s">
        <v>9</v>
      </c>
      <c r="B142" t="s">
        <v>1</v>
      </c>
      <c r="C142">
        <v>3</v>
      </c>
      <c r="D142" t="s">
        <v>34</v>
      </c>
      <c r="E142">
        <v>5</v>
      </c>
      <c r="F142" t="s">
        <v>44</v>
      </c>
      <c r="G142" t="s">
        <v>45</v>
      </c>
      <c r="H142" t="s">
        <v>46</v>
      </c>
      <c r="I142">
        <f t="shared" si="13"/>
        <v>1</v>
      </c>
      <c r="J142" t="str">
        <f t="shared" si="10"/>
        <v>Level 3</v>
      </c>
      <c r="K142" t="str">
        <f t="shared" si="11"/>
        <v>Level 1</v>
      </c>
      <c r="L142" t="str">
        <f t="shared" si="12"/>
        <v>Level 2</v>
      </c>
      <c r="N142" t="s">
        <v>60</v>
      </c>
      <c r="O142" t="s">
        <v>61</v>
      </c>
      <c r="P142" t="s">
        <v>59</v>
      </c>
    </row>
    <row r="143" spans="1:16" x14ac:dyDescent="0.45">
      <c r="A143" t="s">
        <v>0</v>
      </c>
      <c r="B143" t="s">
        <v>1</v>
      </c>
      <c r="C143">
        <v>4</v>
      </c>
      <c r="D143" t="s">
        <v>2</v>
      </c>
      <c r="E143">
        <v>4</v>
      </c>
      <c r="F143" t="s">
        <v>11</v>
      </c>
      <c r="G143" t="s">
        <v>44</v>
      </c>
      <c r="H143" t="s">
        <v>46</v>
      </c>
      <c r="I143">
        <f t="shared" si="13"/>
        <v>0</v>
      </c>
      <c r="J143" t="str">
        <f t="shared" si="10"/>
        <v>None of</v>
      </c>
      <c r="K143" t="str">
        <f t="shared" si="11"/>
        <v>Level 3</v>
      </c>
      <c r="L143" t="str">
        <f t="shared" si="12"/>
        <v>Level 2</v>
      </c>
      <c r="N143" t="s">
        <v>60</v>
      </c>
      <c r="O143" t="s">
        <v>61</v>
      </c>
      <c r="P143" t="s">
        <v>59</v>
      </c>
    </row>
    <row r="144" spans="1:16" x14ac:dyDescent="0.45">
      <c r="A144" t="s">
        <v>0</v>
      </c>
      <c r="B144" t="s">
        <v>1</v>
      </c>
      <c r="C144">
        <v>4</v>
      </c>
      <c r="D144" t="s">
        <v>2</v>
      </c>
      <c r="E144">
        <v>4</v>
      </c>
      <c r="F144" t="s">
        <v>11</v>
      </c>
      <c r="G144" t="s">
        <v>44</v>
      </c>
      <c r="H144" t="s">
        <v>45</v>
      </c>
      <c r="I144">
        <f t="shared" si="13"/>
        <v>0</v>
      </c>
      <c r="J144" t="str">
        <f t="shared" si="10"/>
        <v>None of</v>
      </c>
      <c r="K144" t="str">
        <f t="shared" si="11"/>
        <v>Level 3</v>
      </c>
      <c r="L144" t="str">
        <f t="shared" si="12"/>
        <v>Level 1</v>
      </c>
      <c r="N144" t="s">
        <v>60</v>
      </c>
      <c r="O144" t="s">
        <v>61</v>
      </c>
      <c r="P144" t="s">
        <v>59</v>
      </c>
    </row>
    <row r="145" spans="1:16" x14ac:dyDescent="0.45">
      <c r="A145" t="s">
        <v>0</v>
      </c>
      <c r="B145" t="s">
        <v>1</v>
      </c>
      <c r="C145">
        <v>1</v>
      </c>
      <c r="D145" t="s">
        <v>33</v>
      </c>
      <c r="E145">
        <v>4</v>
      </c>
      <c r="F145" t="s">
        <v>44</v>
      </c>
      <c r="G145" t="s">
        <v>45</v>
      </c>
      <c r="H145" t="s">
        <v>46</v>
      </c>
      <c r="I145">
        <f t="shared" si="13"/>
        <v>0</v>
      </c>
      <c r="J145" t="str">
        <f t="shared" si="10"/>
        <v>Level 3</v>
      </c>
      <c r="K145" t="str">
        <f t="shared" si="11"/>
        <v>Level 1</v>
      </c>
      <c r="L145" t="str">
        <f t="shared" si="12"/>
        <v>Level 2</v>
      </c>
      <c r="N145" t="s">
        <v>60</v>
      </c>
      <c r="O145" t="s">
        <v>61</v>
      </c>
      <c r="P145" t="s">
        <v>59</v>
      </c>
    </row>
    <row r="146" spans="1:16" x14ac:dyDescent="0.45">
      <c r="A146" t="s">
        <v>9</v>
      </c>
      <c r="B146" t="s">
        <v>8</v>
      </c>
      <c r="C146">
        <v>2</v>
      </c>
      <c r="D146" t="s">
        <v>34</v>
      </c>
      <c r="E146">
        <v>4</v>
      </c>
      <c r="F146" t="s">
        <v>44</v>
      </c>
      <c r="G146" t="s">
        <v>45</v>
      </c>
      <c r="H146" t="s">
        <v>46</v>
      </c>
      <c r="I146">
        <f t="shared" si="13"/>
        <v>1</v>
      </c>
      <c r="J146" t="str">
        <f t="shared" si="10"/>
        <v>Level 3</v>
      </c>
      <c r="K146" t="str">
        <f t="shared" si="11"/>
        <v>Level 1</v>
      </c>
      <c r="L146" t="str">
        <f t="shared" si="12"/>
        <v>Level 2</v>
      </c>
      <c r="N146" t="s">
        <v>60</v>
      </c>
      <c r="O146" t="s">
        <v>61</v>
      </c>
      <c r="P146" t="s">
        <v>59</v>
      </c>
    </row>
    <row r="147" spans="1:16" x14ac:dyDescent="0.45">
      <c r="A147" t="s">
        <v>9</v>
      </c>
      <c r="B147" t="s">
        <v>8</v>
      </c>
      <c r="C147">
        <v>2</v>
      </c>
      <c r="D147" t="s">
        <v>39</v>
      </c>
      <c r="E147">
        <v>5</v>
      </c>
      <c r="F147" t="s">
        <v>44</v>
      </c>
      <c r="G147" t="s">
        <v>46</v>
      </c>
      <c r="H147" t="s">
        <v>45</v>
      </c>
      <c r="I147">
        <f t="shared" si="13"/>
        <v>0</v>
      </c>
      <c r="J147" t="str">
        <f t="shared" si="10"/>
        <v>Level 3</v>
      </c>
      <c r="K147" t="str">
        <f t="shared" si="11"/>
        <v>Level 2</v>
      </c>
      <c r="L147" t="str">
        <f t="shared" si="12"/>
        <v>Level 1</v>
      </c>
      <c r="N147" t="s">
        <v>60</v>
      </c>
      <c r="O147" t="s">
        <v>61</v>
      </c>
      <c r="P147" t="s">
        <v>59</v>
      </c>
    </row>
    <row r="148" spans="1:16" x14ac:dyDescent="0.45">
      <c r="A148" t="s">
        <v>7</v>
      </c>
      <c r="B148" t="s">
        <v>8</v>
      </c>
      <c r="C148">
        <v>3</v>
      </c>
      <c r="D148" t="s">
        <v>2</v>
      </c>
      <c r="E148">
        <v>5</v>
      </c>
      <c r="F148" t="s">
        <v>44</v>
      </c>
      <c r="G148" t="s">
        <v>45</v>
      </c>
      <c r="H148" t="s">
        <v>46</v>
      </c>
      <c r="I148">
        <f t="shared" si="13"/>
        <v>0</v>
      </c>
      <c r="J148" t="str">
        <f t="shared" si="10"/>
        <v>Level 3</v>
      </c>
      <c r="K148" t="str">
        <f t="shared" si="11"/>
        <v>Level 1</v>
      </c>
      <c r="L148" t="str">
        <f t="shared" si="12"/>
        <v>Level 2</v>
      </c>
      <c r="N148" t="s">
        <v>60</v>
      </c>
      <c r="O148" t="s">
        <v>61</v>
      </c>
      <c r="P148" t="s">
        <v>59</v>
      </c>
    </row>
    <row r="149" spans="1:16" x14ac:dyDescent="0.45">
      <c r="A149" t="s">
        <v>0</v>
      </c>
      <c r="B149" t="s">
        <v>1</v>
      </c>
      <c r="C149">
        <v>3</v>
      </c>
      <c r="D149" t="s">
        <v>34</v>
      </c>
      <c r="E149">
        <v>4</v>
      </c>
      <c r="F149" t="s">
        <v>44</v>
      </c>
      <c r="G149" t="s">
        <v>46</v>
      </c>
      <c r="H149" t="s">
        <v>45</v>
      </c>
      <c r="I149">
        <f t="shared" si="13"/>
        <v>1</v>
      </c>
      <c r="J149" t="str">
        <f t="shared" si="10"/>
        <v>Level 3</v>
      </c>
      <c r="K149" t="str">
        <f t="shared" si="11"/>
        <v>Level 2</v>
      </c>
      <c r="L149" t="str">
        <f t="shared" si="12"/>
        <v>Level 1</v>
      </c>
      <c r="N149" t="s">
        <v>60</v>
      </c>
      <c r="O149" t="s">
        <v>61</v>
      </c>
      <c r="P149" t="s">
        <v>59</v>
      </c>
    </row>
    <row r="150" spans="1:16" x14ac:dyDescent="0.45">
      <c r="A150" t="s">
        <v>9</v>
      </c>
      <c r="B150" t="s">
        <v>1</v>
      </c>
      <c r="C150">
        <v>5</v>
      </c>
      <c r="D150" t="s">
        <v>34</v>
      </c>
      <c r="E150">
        <v>5</v>
      </c>
      <c r="F150" t="s">
        <v>44</v>
      </c>
      <c r="G150" t="s">
        <v>46</v>
      </c>
      <c r="H150" t="s">
        <v>45</v>
      </c>
      <c r="I150">
        <f t="shared" si="13"/>
        <v>1</v>
      </c>
      <c r="J150" t="str">
        <f t="shared" si="10"/>
        <v>Level 3</v>
      </c>
      <c r="K150" t="str">
        <f t="shared" si="11"/>
        <v>Level 2</v>
      </c>
      <c r="L150" t="str">
        <f t="shared" si="12"/>
        <v>Level 1</v>
      </c>
      <c r="N150" t="s">
        <v>60</v>
      </c>
      <c r="O150" t="s">
        <v>61</v>
      </c>
      <c r="P150" t="s">
        <v>59</v>
      </c>
    </row>
    <row r="151" spans="1:16" x14ac:dyDescent="0.45">
      <c r="A151" t="s">
        <v>7</v>
      </c>
      <c r="B151" t="s">
        <v>8</v>
      </c>
      <c r="C151">
        <v>1</v>
      </c>
      <c r="D151" t="s">
        <v>11</v>
      </c>
      <c r="E151">
        <v>1</v>
      </c>
      <c r="F151" t="s">
        <v>46</v>
      </c>
      <c r="G151" t="s">
        <v>11</v>
      </c>
      <c r="H151" t="s">
        <v>45</v>
      </c>
      <c r="I151">
        <f t="shared" si="13"/>
        <v>0</v>
      </c>
      <c r="J151" t="str">
        <f t="shared" si="10"/>
        <v>Level 2</v>
      </c>
      <c r="K151" t="str">
        <f t="shared" si="11"/>
        <v>None of</v>
      </c>
      <c r="L151" t="str">
        <f t="shared" si="12"/>
        <v>Level 1</v>
      </c>
      <c r="N151" t="s">
        <v>60</v>
      </c>
      <c r="O151" t="s">
        <v>61</v>
      </c>
      <c r="P151" t="s">
        <v>59</v>
      </c>
    </row>
    <row r="152" spans="1:16" x14ac:dyDescent="0.45">
      <c r="A152" t="s">
        <v>35</v>
      </c>
      <c r="B152" t="s">
        <v>8</v>
      </c>
      <c r="C152">
        <v>2</v>
      </c>
      <c r="D152" t="s">
        <v>33</v>
      </c>
      <c r="E152">
        <v>4</v>
      </c>
      <c r="F152" t="s">
        <v>44</v>
      </c>
      <c r="G152" t="s">
        <v>45</v>
      </c>
      <c r="H152" t="s">
        <v>11</v>
      </c>
      <c r="I152">
        <f t="shared" si="13"/>
        <v>0</v>
      </c>
      <c r="J152" t="str">
        <f t="shared" si="10"/>
        <v>Level 3</v>
      </c>
      <c r="K152" t="str">
        <f t="shared" si="11"/>
        <v>Level 1</v>
      </c>
      <c r="L152" t="str">
        <f t="shared" si="12"/>
        <v>None of</v>
      </c>
      <c r="N152" t="s">
        <v>60</v>
      </c>
      <c r="O152" t="s">
        <v>61</v>
      </c>
      <c r="P152" t="s">
        <v>59</v>
      </c>
    </row>
    <row r="153" spans="1:16" x14ac:dyDescent="0.45">
      <c r="A153" t="s">
        <v>35</v>
      </c>
      <c r="B153" t="s">
        <v>8</v>
      </c>
      <c r="C153">
        <v>2</v>
      </c>
      <c r="D153" t="s">
        <v>34</v>
      </c>
      <c r="E153">
        <v>4</v>
      </c>
      <c r="F153" t="s">
        <v>44</v>
      </c>
      <c r="G153" t="s">
        <v>45</v>
      </c>
      <c r="H153" t="s">
        <v>11</v>
      </c>
      <c r="I153">
        <f t="shared" si="13"/>
        <v>1</v>
      </c>
      <c r="J153" t="str">
        <f t="shared" si="10"/>
        <v>Level 3</v>
      </c>
      <c r="K153" t="str">
        <f t="shared" si="11"/>
        <v>Level 1</v>
      </c>
      <c r="L153" t="str">
        <f t="shared" si="12"/>
        <v>None of</v>
      </c>
      <c r="N153" t="s">
        <v>60</v>
      </c>
      <c r="O153" t="s">
        <v>61</v>
      </c>
      <c r="P153" t="s">
        <v>59</v>
      </c>
    </row>
    <row r="154" spans="1:16" x14ac:dyDescent="0.45">
      <c r="A154" t="s">
        <v>7</v>
      </c>
      <c r="B154" t="s">
        <v>8</v>
      </c>
      <c r="C154">
        <v>1</v>
      </c>
      <c r="D154" t="s">
        <v>34</v>
      </c>
      <c r="E154">
        <v>5</v>
      </c>
      <c r="F154" t="s">
        <v>46</v>
      </c>
      <c r="G154" t="s">
        <v>45</v>
      </c>
      <c r="H154" t="s">
        <v>45</v>
      </c>
      <c r="I154">
        <f t="shared" si="13"/>
        <v>1</v>
      </c>
      <c r="J154" t="str">
        <f t="shared" si="10"/>
        <v>Level 2</v>
      </c>
      <c r="K154" t="str">
        <f t="shared" si="11"/>
        <v>Level 1</v>
      </c>
      <c r="L154" t="str">
        <f t="shared" si="12"/>
        <v>Level 1</v>
      </c>
      <c r="N154" t="s">
        <v>60</v>
      </c>
      <c r="O154" t="s">
        <v>61</v>
      </c>
      <c r="P154" t="s">
        <v>59</v>
      </c>
    </row>
    <row r="155" spans="1:16" x14ac:dyDescent="0.45">
      <c r="A155" t="s">
        <v>7</v>
      </c>
      <c r="B155" t="s">
        <v>8</v>
      </c>
      <c r="C155">
        <v>1</v>
      </c>
      <c r="D155" t="s">
        <v>34</v>
      </c>
      <c r="E155">
        <v>5</v>
      </c>
      <c r="F155" t="s">
        <v>44</v>
      </c>
      <c r="G155" t="s">
        <v>11</v>
      </c>
      <c r="H155" t="s">
        <v>46</v>
      </c>
      <c r="I155">
        <f t="shared" si="13"/>
        <v>1</v>
      </c>
      <c r="J155" t="str">
        <f t="shared" si="10"/>
        <v>Level 3</v>
      </c>
      <c r="K155" t="str">
        <f t="shared" si="11"/>
        <v>None of</v>
      </c>
      <c r="L155" t="str">
        <f t="shared" si="12"/>
        <v>Level 2</v>
      </c>
      <c r="N155" t="s">
        <v>60</v>
      </c>
      <c r="O155" t="s">
        <v>61</v>
      </c>
      <c r="P155" t="s">
        <v>59</v>
      </c>
    </row>
    <row r="156" spans="1:16" x14ac:dyDescent="0.45">
      <c r="A156" t="s">
        <v>7</v>
      </c>
      <c r="B156" t="s">
        <v>1</v>
      </c>
      <c r="C156">
        <v>1</v>
      </c>
      <c r="D156" t="s">
        <v>34</v>
      </c>
      <c r="E156">
        <v>3</v>
      </c>
      <c r="F156" t="s">
        <v>44</v>
      </c>
      <c r="G156" t="s">
        <v>46</v>
      </c>
      <c r="H156" t="s">
        <v>45</v>
      </c>
      <c r="I156">
        <f t="shared" si="13"/>
        <v>1</v>
      </c>
      <c r="J156" t="str">
        <f t="shared" si="10"/>
        <v>Level 3</v>
      </c>
      <c r="K156" t="str">
        <f t="shared" si="11"/>
        <v>Level 2</v>
      </c>
      <c r="L156" t="str">
        <f t="shared" si="12"/>
        <v>Level 1</v>
      </c>
      <c r="N156" t="s">
        <v>60</v>
      </c>
      <c r="O156" t="s">
        <v>61</v>
      </c>
      <c r="P156" t="s">
        <v>59</v>
      </c>
    </row>
    <row r="157" spans="1:16" x14ac:dyDescent="0.45">
      <c r="A157" t="s">
        <v>9</v>
      </c>
      <c r="B157" t="s">
        <v>8</v>
      </c>
      <c r="C157">
        <v>2</v>
      </c>
      <c r="D157" t="s">
        <v>47</v>
      </c>
      <c r="E157">
        <v>4</v>
      </c>
      <c r="F157" t="s">
        <v>44</v>
      </c>
      <c r="G157" t="s">
        <v>46</v>
      </c>
      <c r="H157" t="s">
        <v>46</v>
      </c>
      <c r="I157">
        <f t="shared" si="13"/>
        <v>0</v>
      </c>
      <c r="J157" t="str">
        <f t="shared" si="10"/>
        <v>Level 3</v>
      </c>
      <c r="K157" t="str">
        <f t="shared" si="11"/>
        <v>Level 2</v>
      </c>
      <c r="L157" t="str">
        <f t="shared" si="12"/>
        <v>Level 2</v>
      </c>
      <c r="N157" t="s">
        <v>60</v>
      </c>
      <c r="O157" t="s">
        <v>61</v>
      </c>
      <c r="P157" t="s">
        <v>59</v>
      </c>
    </row>
    <row r="158" spans="1:16" x14ac:dyDescent="0.45">
      <c r="A158" t="s">
        <v>9</v>
      </c>
      <c r="B158" t="s">
        <v>8</v>
      </c>
      <c r="C158">
        <v>1</v>
      </c>
      <c r="D158" t="s">
        <v>33</v>
      </c>
      <c r="E158">
        <v>5</v>
      </c>
      <c r="F158" t="s">
        <v>46</v>
      </c>
      <c r="G158" t="s">
        <v>45</v>
      </c>
      <c r="H158" t="s">
        <v>45</v>
      </c>
      <c r="I158">
        <f t="shared" si="13"/>
        <v>0</v>
      </c>
      <c r="J158" t="str">
        <f t="shared" si="10"/>
        <v>Level 2</v>
      </c>
      <c r="K158" t="str">
        <f t="shared" si="11"/>
        <v>Level 1</v>
      </c>
      <c r="L158" t="str">
        <f t="shared" si="12"/>
        <v>Level 1</v>
      </c>
      <c r="N158" t="s">
        <v>60</v>
      </c>
      <c r="O158" t="s">
        <v>61</v>
      </c>
      <c r="P158" t="s">
        <v>59</v>
      </c>
    </row>
    <row r="159" spans="1:16" x14ac:dyDescent="0.45">
      <c r="A159" t="s">
        <v>9</v>
      </c>
      <c r="B159" t="s">
        <v>1</v>
      </c>
      <c r="C159">
        <v>3</v>
      </c>
      <c r="D159" t="s">
        <v>34</v>
      </c>
      <c r="E159">
        <v>5</v>
      </c>
      <c r="F159" t="s">
        <v>44</v>
      </c>
      <c r="G159" t="s">
        <v>46</v>
      </c>
      <c r="H159" t="s">
        <v>45</v>
      </c>
      <c r="I159">
        <f t="shared" si="13"/>
        <v>1</v>
      </c>
      <c r="J159" t="str">
        <f t="shared" si="10"/>
        <v>Level 3</v>
      </c>
      <c r="K159" t="str">
        <f t="shared" si="11"/>
        <v>Level 2</v>
      </c>
      <c r="L159" t="str">
        <f t="shared" si="12"/>
        <v>Level 1</v>
      </c>
      <c r="N159" t="s">
        <v>60</v>
      </c>
      <c r="O159" t="s">
        <v>61</v>
      </c>
      <c r="P159" t="s">
        <v>59</v>
      </c>
    </row>
    <row r="160" spans="1:16" x14ac:dyDescent="0.45">
      <c r="A160" t="s">
        <v>9</v>
      </c>
      <c r="B160" t="s">
        <v>1</v>
      </c>
      <c r="C160">
        <v>3</v>
      </c>
      <c r="D160" t="s">
        <v>34</v>
      </c>
      <c r="E160">
        <v>5</v>
      </c>
      <c r="F160" t="s">
        <v>44</v>
      </c>
      <c r="G160" t="s">
        <v>46</v>
      </c>
      <c r="H160" t="s">
        <v>45</v>
      </c>
      <c r="I160">
        <f t="shared" si="13"/>
        <v>1</v>
      </c>
      <c r="J160" t="str">
        <f t="shared" si="10"/>
        <v>Level 3</v>
      </c>
      <c r="K160" t="str">
        <f t="shared" si="11"/>
        <v>Level 2</v>
      </c>
      <c r="L160" t="str">
        <f t="shared" si="12"/>
        <v>Level 1</v>
      </c>
      <c r="N160" t="s">
        <v>60</v>
      </c>
      <c r="O160" t="s">
        <v>61</v>
      </c>
      <c r="P160" t="s">
        <v>59</v>
      </c>
    </row>
    <row r="161" spans="1:16" x14ac:dyDescent="0.45">
      <c r="A161" t="s">
        <v>9</v>
      </c>
      <c r="B161" t="s">
        <v>8</v>
      </c>
      <c r="C161">
        <v>1</v>
      </c>
      <c r="D161" t="s">
        <v>5</v>
      </c>
      <c r="E161">
        <v>2</v>
      </c>
      <c r="F161" t="s">
        <v>46</v>
      </c>
      <c r="G161" t="s">
        <v>45</v>
      </c>
      <c r="H161" t="s">
        <v>44</v>
      </c>
      <c r="I161">
        <f t="shared" si="13"/>
        <v>0</v>
      </c>
      <c r="J161" t="str">
        <f t="shared" si="10"/>
        <v>Level 2</v>
      </c>
      <c r="K161" t="str">
        <f t="shared" si="11"/>
        <v>Level 1</v>
      </c>
      <c r="L161" t="str">
        <f t="shared" si="12"/>
        <v>Level 3</v>
      </c>
      <c r="N161" t="s">
        <v>60</v>
      </c>
      <c r="O161" t="s">
        <v>61</v>
      </c>
      <c r="P161" t="s">
        <v>59</v>
      </c>
    </row>
    <row r="162" spans="1:16" x14ac:dyDescent="0.45">
      <c r="A162" t="s">
        <v>9</v>
      </c>
      <c r="B162" t="s">
        <v>1</v>
      </c>
      <c r="C162">
        <v>2</v>
      </c>
      <c r="D162" t="s">
        <v>5</v>
      </c>
      <c r="E162">
        <v>4</v>
      </c>
      <c r="F162" t="s">
        <v>46</v>
      </c>
      <c r="G162" t="s">
        <v>44</v>
      </c>
      <c r="H162" t="s">
        <v>45</v>
      </c>
      <c r="I162">
        <f t="shared" si="13"/>
        <v>0</v>
      </c>
      <c r="J162" t="str">
        <f t="shared" si="10"/>
        <v>Level 2</v>
      </c>
      <c r="K162" t="str">
        <f t="shared" si="11"/>
        <v>Level 3</v>
      </c>
      <c r="L162" t="str">
        <f t="shared" si="12"/>
        <v>Level 1</v>
      </c>
      <c r="N162" t="s">
        <v>60</v>
      </c>
      <c r="O162" t="s">
        <v>61</v>
      </c>
      <c r="P162" t="s">
        <v>59</v>
      </c>
    </row>
    <row r="163" spans="1:16" x14ac:dyDescent="0.45">
      <c r="A163" t="s">
        <v>0</v>
      </c>
      <c r="B163" t="s">
        <v>8</v>
      </c>
      <c r="C163">
        <v>4</v>
      </c>
      <c r="D163" t="s">
        <v>47</v>
      </c>
      <c r="E163">
        <v>3</v>
      </c>
      <c r="F163" t="s">
        <v>48</v>
      </c>
      <c r="G163" t="s">
        <v>49</v>
      </c>
      <c r="H163" t="s">
        <v>50</v>
      </c>
      <c r="I163">
        <f>IF(D163="Sadness",1,0)</f>
        <v>1</v>
      </c>
      <c r="J163" t="str">
        <f t="shared" si="10"/>
        <v>Level 2</v>
      </c>
      <c r="K163" t="str">
        <f t="shared" si="11"/>
        <v>Level 1</v>
      </c>
      <c r="L163" t="str">
        <f t="shared" si="12"/>
        <v>Level 3</v>
      </c>
      <c r="N163" t="s">
        <v>61</v>
      </c>
      <c r="O163" t="s">
        <v>59</v>
      </c>
      <c r="P163" t="s">
        <v>60</v>
      </c>
    </row>
    <row r="164" spans="1:16" x14ac:dyDescent="0.45">
      <c r="A164" t="s">
        <v>0</v>
      </c>
      <c r="B164" t="s">
        <v>8</v>
      </c>
      <c r="C164">
        <v>2</v>
      </c>
      <c r="D164" t="s">
        <v>39</v>
      </c>
      <c r="E164">
        <v>4</v>
      </c>
      <c r="F164" t="s">
        <v>48</v>
      </c>
      <c r="G164" t="s">
        <v>49</v>
      </c>
      <c r="H164" t="s">
        <v>50</v>
      </c>
      <c r="I164">
        <f t="shared" ref="I164:I186" si="14">IF(D164="Sadness",1,0)</f>
        <v>0</v>
      </c>
      <c r="J164" t="str">
        <f t="shared" si="10"/>
        <v>Level 2</v>
      </c>
      <c r="K164" t="str">
        <f t="shared" si="11"/>
        <v>Level 1</v>
      </c>
      <c r="L164" t="str">
        <f t="shared" si="12"/>
        <v>Level 3</v>
      </c>
      <c r="N164" t="s">
        <v>61</v>
      </c>
      <c r="O164" t="s">
        <v>59</v>
      </c>
      <c r="P164" t="s">
        <v>60</v>
      </c>
    </row>
    <row r="165" spans="1:16" x14ac:dyDescent="0.45">
      <c r="A165" t="s">
        <v>7</v>
      </c>
      <c r="B165" t="s">
        <v>1</v>
      </c>
      <c r="C165">
        <v>4</v>
      </c>
      <c r="D165" t="s">
        <v>47</v>
      </c>
      <c r="E165">
        <v>3</v>
      </c>
      <c r="F165" t="s">
        <v>50</v>
      </c>
      <c r="G165" t="s">
        <v>49</v>
      </c>
      <c r="H165" t="s">
        <v>48</v>
      </c>
      <c r="I165">
        <f t="shared" si="14"/>
        <v>1</v>
      </c>
      <c r="J165" t="str">
        <f t="shared" si="10"/>
        <v>Level 3</v>
      </c>
      <c r="K165" t="str">
        <f t="shared" si="11"/>
        <v>Level 1</v>
      </c>
      <c r="L165" t="str">
        <f t="shared" si="12"/>
        <v>Level 2</v>
      </c>
      <c r="N165" t="s">
        <v>61</v>
      </c>
      <c r="O165" t="s">
        <v>59</v>
      </c>
      <c r="P165" t="s">
        <v>60</v>
      </c>
    </row>
    <row r="166" spans="1:16" x14ac:dyDescent="0.45">
      <c r="A166" t="s">
        <v>9</v>
      </c>
      <c r="B166" t="s">
        <v>1</v>
      </c>
      <c r="C166">
        <v>3</v>
      </c>
      <c r="D166" t="s">
        <v>39</v>
      </c>
      <c r="E166">
        <v>5</v>
      </c>
      <c r="F166" t="s">
        <v>48</v>
      </c>
      <c r="G166" t="s">
        <v>49</v>
      </c>
      <c r="H166" t="s">
        <v>50</v>
      </c>
      <c r="I166">
        <f t="shared" si="14"/>
        <v>0</v>
      </c>
      <c r="J166" t="str">
        <f t="shared" si="10"/>
        <v>Level 2</v>
      </c>
      <c r="K166" t="str">
        <f t="shared" si="11"/>
        <v>Level 1</v>
      </c>
      <c r="L166" t="str">
        <f t="shared" si="12"/>
        <v>Level 3</v>
      </c>
      <c r="N166" t="s">
        <v>61</v>
      </c>
      <c r="O166" t="s">
        <v>59</v>
      </c>
      <c r="P166" t="s">
        <v>60</v>
      </c>
    </row>
    <row r="167" spans="1:16" x14ac:dyDescent="0.45">
      <c r="A167" t="s">
        <v>0</v>
      </c>
      <c r="B167" t="s">
        <v>1</v>
      </c>
      <c r="C167">
        <v>3</v>
      </c>
      <c r="D167" t="s">
        <v>39</v>
      </c>
      <c r="E167">
        <v>3</v>
      </c>
      <c r="F167" t="s">
        <v>49</v>
      </c>
      <c r="G167" t="s">
        <v>48</v>
      </c>
      <c r="H167" t="s">
        <v>50</v>
      </c>
      <c r="I167">
        <f t="shared" si="14"/>
        <v>0</v>
      </c>
      <c r="J167" t="str">
        <f t="shared" si="10"/>
        <v>Level 1</v>
      </c>
      <c r="K167" t="str">
        <f t="shared" si="11"/>
        <v>Level 2</v>
      </c>
      <c r="L167" t="str">
        <f t="shared" si="12"/>
        <v>Level 3</v>
      </c>
      <c r="N167" t="s">
        <v>61</v>
      </c>
      <c r="O167" t="s">
        <v>59</v>
      </c>
      <c r="P167" t="s">
        <v>60</v>
      </c>
    </row>
    <row r="168" spans="1:16" x14ac:dyDescent="0.45">
      <c r="A168" t="s">
        <v>9</v>
      </c>
      <c r="B168" t="s">
        <v>8</v>
      </c>
      <c r="C168">
        <v>2</v>
      </c>
      <c r="D168" t="s">
        <v>47</v>
      </c>
      <c r="E168">
        <v>5</v>
      </c>
      <c r="F168" t="s">
        <v>48</v>
      </c>
      <c r="G168" t="s">
        <v>48</v>
      </c>
      <c r="H168" t="s">
        <v>50</v>
      </c>
      <c r="I168">
        <f t="shared" si="14"/>
        <v>1</v>
      </c>
      <c r="J168" t="str">
        <f t="shared" si="10"/>
        <v>Level 2</v>
      </c>
      <c r="K168" t="str">
        <f t="shared" si="11"/>
        <v>Level 2</v>
      </c>
      <c r="L168" t="str">
        <f t="shared" si="12"/>
        <v>Level 3</v>
      </c>
      <c r="N168" t="s">
        <v>61</v>
      </c>
      <c r="O168" t="s">
        <v>59</v>
      </c>
      <c r="P168" t="s">
        <v>60</v>
      </c>
    </row>
    <row r="169" spans="1:16" x14ac:dyDescent="0.45">
      <c r="A169" t="s">
        <v>0</v>
      </c>
      <c r="B169" t="s">
        <v>8</v>
      </c>
      <c r="C169">
        <v>4</v>
      </c>
      <c r="D169" t="s">
        <v>2</v>
      </c>
      <c r="E169">
        <v>1</v>
      </c>
      <c r="F169" t="s">
        <v>49</v>
      </c>
      <c r="G169" t="s">
        <v>50</v>
      </c>
      <c r="H169" t="s">
        <v>48</v>
      </c>
      <c r="I169">
        <f t="shared" si="14"/>
        <v>0</v>
      </c>
      <c r="J169" t="str">
        <f t="shared" si="10"/>
        <v>Level 1</v>
      </c>
      <c r="K169" t="str">
        <f t="shared" si="11"/>
        <v>Level 3</v>
      </c>
      <c r="L169" t="str">
        <f t="shared" si="12"/>
        <v>Level 2</v>
      </c>
      <c r="N169" t="s">
        <v>61</v>
      </c>
      <c r="O169" t="s">
        <v>59</v>
      </c>
      <c r="P169" t="s">
        <v>60</v>
      </c>
    </row>
    <row r="170" spans="1:16" x14ac:dyDescent="0.45">
      <c r="A170" t="s">
        <v>9</v>
      </c>
      <c r="B170" t="s">
        <v>8</v>
      </c>
      <c r="C170">
        <v>2</v>
      </c>
      <c r="D170" t="s">
        <v>39</v>
      </c>
      <c r="E170">
        <v>3</v>
      </c>
      <c r="F170" t="s">
        <v>48</v>
      </c>
      <c r="G170" t="s">
        <v>49</v>
      </c>
      <c r="H170" t="s">
        <v>50</v>
      </c>
      <c r="I170">
        <f t="shared" si="14"/>
        <v>0</v>
      </c>
      <c r="J170" t="str">
        <f t="shared" si="10"/>
        <v>Level 2</v>
      </c>
      <c r="K170" t="str">
        <f t="shared" si="11"/>
        <v>Level 1</v>
      </c>
      <c r="L170" t="str">
        <f t="shared" si="12"/>
        <v>Level 3</v>
      </c>
      <c r="N170" t="s">
        <v>61</v>
      </c>
      <c r="O170" t="s">
        <v>59</v>
      </c>
      <c r="P170" t="s">
        <v>60</v>
      </c>
    </row>
    <row r="171" spans="1:16" x14ac:dyDescent="0.45">
      <c r="A171" t="s">
        <v>35</v>
      </c>
      <c r="B171" t="s">
        <v>1</v>
      </c>
      <c r="C171">
        <v>1</v>
      </c>
      <c r="D171" t="s">
        <v>29</v>
      </c>
      <c r="E171">
        <v>5</v>
      </c>
      <c r="F171" t="s">
        <v>49</v>
      </c>
      <c r="G171" t="s">
        <v>48</v>
      </c>
      <c r="H171" t="s">
        <v>50</v>
      </c>
      <c r="I171">
        <f t="shared" si="14"/>
        <v>0</v>
      </c>
      <c r="J171" t="str">
        <f t="shared" si="10"/>
        <v>Level 1</v>
      </c>
      <c r="K171" t="str">
        <f t="shared" si="11"/>
        <v>Level 2</v>
      </c>
      <c r="L171" t="str">
        <f t="shared" si="12"/>
        <v>Level 3</v>
      </c>
      <c r="N171" t="s">
        <v>61</v>
      </c>
      <c r="O171" t="s">
        <v>59</v>
      </c>
      <c r="P171" t="s">
        <v>60</v>
      </c>
    </row>
    <row r="172" spans="1:16" x14ac:dyDescent="0.45">
      <c r="A172" t="s">
        <v>9</v>
      </c>
      <c r="B172" t="s">
        <v>8</v>
      </c>
      <c r="C172">
        <v>2</v>
      </c>
      <c r="D172" t="s">
        <v>39</v>
      </c>
      <c r="E172">
        <v>4</v>
      </c>
      <c r="F172" t="s">
        <v>48</v>
      </c>
      <c r="G172" t="s">
        <v>49</v>
      </c>
      <c r="H172" t="s">
        <v>50</v>
      </c>
      <c r="I172">
        <f t="shared" si="14"/>
        <v>0</v>
      </c>
      <c r="J172" t="str">
        <f t="shared" si="10"/>
        <v>Level 2</v>
      </c>
      <c r="K172" t="str">
        <f t="shared" si="11"/>
        <v>Level 1</v>
      </c>
      <c r="L172" t="str">
        <f t="shared" si="12"/>
        <v>Level 3</v>
      </c>
      <c r="N172" t="s">
        <v>61</v>
      </c>
      <c r="O172" t="s">
        <v>59</v>
      </c>
      <c r="P172" t="s">
        <v>60</v>
      </c>
    </row>
    <row r="173" spans="1:16" x14ac:dyDescent="0.45">
      <c r="A173" t="s">
        <v>0</v>
      </c>
      <c r="B173" t="s">
        <v>1</v>
      </c>
      <c r="C173">
        <v>3</v>
      </c>
      <c r="D173" t="s">
        <v>2</v>
      </c>
      <c r="E173">
        <v>1</v>
      </c>
      <c r="F173" t="s">
        <v>48</v>
      </c>
      <c r="G173" t="s">
        <v>49</v>
      </c>
      <c r="H173" t="s">
        <v>50</v>
      </c>
      <c r="I173">
        <f t="shared" si="14"/>
        <v>0</v>
      </c>
      <c r="J173" t="str">
        <f t="shared" si="10"/>
        <v>Level 2</v>
      </c>
      <c r="K173" t="str">
        <f t="shared" si="11"/>
        <v>Level 1</v>
      </c>
      <c r="L173" t="str">
        <f t="shared" si="12"/>
        <v>Level 3</v>
      </c>
      <c r="N173" t="s">
        <v>61</v>
      </c>
      <c r="O173" t="s">
        <v>59</v>
      </c>
      <c r="P173" t="s">
        <v>60</v>
      </c>
    </row>
    <row r="174" spans="1:16" x14ac:dyDescent="0.45">
      <c r="A174" t="s">
        <v>0</v>
      </c>
      <c r="B174" t="s">
        <v>1</v>
      </c>
      <c r="C174">
        <v>3</v>
      </c>
      <c r="D174" t="s">
        <v>2</v>
      </c>
      <c r="E174">
        <v>1</v>
      </c>
      <c r="F174" t="s">
        <v>48</v>
      </c>
      <c r="G174" t="s">
        <v>49</v>
      </c>
      <c r="H174" t="s">
        <v>50</v>
      </c>
      <c r="I174">
        <f t="shared" si="14"/>
        <v>0</v>
      </c>
      <c r="J174" t="str">
        <f t="shared" si="10"/>
        <v>Level 2</v>
      </c>
      <c r="K174" t="str">
        <f t="shared" si="11"/>
        <v>Level 1</v>
      </c>
      <c r="L174" t="str">
        <f t="shared" si="12"/>
        <v>Level 3</v>
      </c>
      <c r="N174" t="s">
        <v>61</v>
      </c>
      <c r="O174" t="s">
        <v>59</v>
      </c>
      <c r="P174" t="s">
        <v>60</v>
      </c>
    </row>
    <row r="175" spans="1:16" x14ac:dyDescent="0.45">
      <c r="A175" t="s">
        <v>0</v>
      </c>
      <c r="B175" t="s">
        <v>1</v>
      </c>
      <c r="C175">
        <v>5</v>
      </c>
      <c r="D175" t="s">
        <v>2</v>
      </c>
      <c r="E175">
        <v>4</v>
      </c>
      <c r="F175" t="s">
        <v>48</v>
      </c>
      <c r="G175" t="s">
        <v>49</v>
      </c>
      <c r="H175" t="s">
        <v>50</v>
      </c>
      <c r="I175">
        <f t="shared" si="14"/>
        <v>0</v>
      </c>
      <c r="J175" t="str">
        <f t="shared" si="10"/>
        <v>Level 2</v>
      </c>
      <c r="K175" t="str">
        <f t="shared" si="11"/>
        <v>Level 1</v>
      </c>
      <c r="L175" t="str">
        <f t="shared" si="12"/>
        <v>Level 3</v>
      </c>
      <c r="N175" t="s">
        <v>61</v>
      </c>
      <c r="O175" t="s">
        <v>59</v>
      </c>
      <c r="P175" t="s">
        <v>60</v>
      </c>
    </row>
    <row r="176" spans="1:16" x14ac:dyDescent="0.45">
      <c r="A176" t="s">
        <v>9</v>
      </c>
      <c r="B176" t="s">
        <v>1</v>
      </c>
      <c r="C176">
        <v>5</v>
      </c>
      <c r="D176" t="s">
        <v>47</v>
      </c>
      <c r="E176">
        <v>3</v>
      </c>
      <c r="F176" t="s">
        <v>48</v>
      </c>
      <c r="G176" t="s">
        <v>49</v>
      </c>
      <c r="H176" t="s">
        <v>50</v>
      </c>
      <c r="I176">
        <f t="shared" si="14"/>
        <v>1</v>
      </c>
      <c r="J176" t="str">
        <f t="shared" si="10"/>
        <v>Level 2</v>
      </c>
      <c r="K176" t="str">
        <f t="shared" si="11"/>
        <v>Level 1</v>
      </c>
      <c r="L176" t="str">
        <f t="shared" si="12"/>
        <v>Level 3</v>
      </c>
      <c r="N176" t="s">
        <v>61</v>
      </c>
      <c r="O176" t="s">
        <v>59</v>
      </c>
      <c r="P176" t="s">
        <v>60</v>
      </c>
    </row>
    <row r="177" spans="1:16" x14ac:dyDescent="0.45">
      <c r="A177" t="s">
        <v>7</v>
      </c>
      <c r="B177" t="s">
        <v>8</v>
      </c>
      <c r="C177">
        <v>1</v>
      </c>
      <c r="D177" t="s">
        <v>11</v>
      </c>
      <c r="E177">
        <v>5</v>
      </c>
      <c r="F177" t="s">
        <v>48</v>
      </c>
      <c r="G177" t="s">
        <v>49</v>
      </c>
      <c r="H177" t="s">
        <v>50</v>
      </c>
      <c r="I177">
        <f t="shared" si="14"/>
        <v>0</v>
      </c>
      <c r="J177" t="str">
        <f t="shared" si="10"/>
        <v>Level 2</v>
      </c>
      <c r="K177" t="str">
        <f t="shared" si="11"/>
        <v>Level 1</v>
      </c>
      <c r="L177" t="str">
        <f t="shared" si="12"/>
        <v>Level 3</v>
      </c>
      <c r="N177" t="s">
        <v>61</v>
      </c>
      <c r="O177" t="s">
        <v>59</v>
      </c>
      <c r="P177" t="s">
        <v>60</v>
      </c>
    </row>
    <row r="178" spans="1:16" x14ac:dyDescent="0.45">
      <c r="A178" t="s">
        <v>7</v>
      </c>
      <c r="B178" t="s">
        <v>1</v>
      </c>
      <c r="C178">
        <v>3</v>
      </c>
      <c r="D178" t="s">
        <v>39</v>
      </c>
      <c r="E178">
        <v>3</v>
      </c>
      <c r="F178" t="s">
        <v>11</v>
      </c>
      <c r="G178" t="s">
        <v>48</v>
      </c>
      <c r="H178" t="s">
        <v>50</v>
      </c>
      <c r="I178">
        <f t="shared" si="14"/>
        <v>0</v>
      </c>
      <c r="J178" t="str">
        <f t="shared" si="10"/>
        <v>None of</v>
      </c>
      <c r="K178" t="str">
        <f t="shared" si="11"/>
        <v>Level 2</v>
      </c>
      <c r="L178" t="str">
        <f t="shared" si="12"/>
        <v>Level 3</v>
      </c>
      <c r="N178" t="s">
        <v>61</v>
      </c>
      <c r="O178" t="s">
        <v>59</v>
      </c>
      <c r="P178" t="s">
        <v>60</v>
      </c>
    </row>
    <row r="179" spans="1:16" x14ac:dyDescent="0.45">
      <c r="A179" t="s">
        <v>7</v>
      </c>
      <c r="B179" t="s">
        <v>8</v>
      </c>
      <c r="C179">
        <v>1</v>
      </c>
      <c r="D179" t="s">
        <v>2</v>
      </c>
      <c r="E179">
        <v>2</v>
      </c>
      <c r="F179" t="s">
        <v>50</v>
      </c>
      <c r="G179" t="s">
        <v>48</v>
      </c>
      <c r="H179" t="s">
        <v>50</v>
      </c>
      <c r="I179">
        <f t="shared" si="14"/>
        <v>0</v>
      </c>
      <c r="J179" t="str">
        <f t="shared" si="10"/>
        <v>Level 3</v>
      </c>
      <c r="K179" t="str">
        <f t="shared" si="11"/>
        <v>Level 2</v>
      </c>
      <c r="L179" t="str">
        <f t="shared" si="12"/>
        <v>Level 3</v>
      </c>
      <c r="N179" t="s">
        <v>61</v>
      </c>
      <c r="O179" t="s">
        <v>59</v>
      </c>
      <c r="P179" t="s">
        <v>60</v>
      </c>
    </row>
    <row r="180" spans="1:16" x14ac:dyDescent="0.45">
      <c r="A180" t="s">
        <v>7</v>
      </c>
      <c r="B180" t="s">
        <v>8</v>
      </c>
      <c r="C180">
        <v>1</v>
      </c>
      <c r="D180" t="s">
        <v>2</v>
      </c>
      <c r="E180">
        <v>4</v>
      </c>
      <c r="F180" t="s">
        <v>49</v>
      </c>
      <c r="G180" t="s">
        <v>48</v>
      </c>
      <c r="H180" t="s">
        <v>50</v>
      </c>
      <c r="I180">
        <f t="shared" si="14"/>
        <v>0</v>
      </c>
      <c r="J180" t="str">
        <f t="shared" si="10"/>
        <v>Level 1</v>
      </c>
      <c r="K180" t="str">
        <f t="shared" si="11"/>
        <v>Level 2</v>
      </c>
      <c r="L180" t="str">
        <f t="shared" si="12"/>
        <v>Level 3</v>
      </c>
      <c r="N180" t="s">
        <v>61</v>
      </c>
      <c r="O180" t="s">
        <v>59</v>
      </c>
      <c r="P180" t="s">
        <v>60</v>
      </c>
    </row>
    <row r="181" spans="1:16" x14ac:dyDescent="0.45">
      <c r="A181" t="s">
        <v>7</v>
      </c>
      <c r="B181" t="s">
        <v>8</v>
      </c>
      <c r="C181">
        <v>1</v>
      </c>
      <c r="D181" t="s">
        <v>39</v>
      </c>
      <c r="E181">
        <v>5</v>
      </c>
      <c r="F181" t="s">
        <v>11</v>
      </c>
      <c r="G181" t="s">
        <v>50</v>
      </c>
      <c r="H181" t="s">
        <v>50</v>
      </c>
      <c r="I181">
        <f t="shared" si="14"/>
        <v>0</v>
      </c>
      <c r="J181" t="str">
        <f t="shared" si="10"/>
        <v>None of</v>
      </c>
      <c r="K181" t="str">
        <f t="shared" si="11"/>
        <v>Level 3</v>
      </c>
      <c r="L181" t="str">
        <f t="shared" si="12"/>
        <v>Level 3</v>
      </c>
      <c r="N181" t="s">
        <v>61</v>
      </c>
      <c r="O181" t="s">
        <v>59</v>
      </c>
      <c r="P181" t="s">
        <v>60</v>
      </c>
    </row>
    <row r="182" spans="1:16" x14ac:dyDescent="0.45">
      <c r="A182" t="s">
        <v>7</v>
      </c>
      <c r="B182" t="s">
        <v>1</v>
      </c>
      <c r="C182">
        <v>1</v>
      </c>
      <c r="D182" t="s">
        <v>2</v>
      </c>
      <c r="E182">
        <v>3</v>
      </c>
      <c r="F182" t="s">
        <v>48</v>
      </c>
      <c r="G182" t="s">
        <v>11</v>
      </c>
      <c r="H182" t="s">
        <v>11</v>
      </c>
      <c r="I182">
        <f t="shared" si="14"/>
        <v>0</v>
      </c>
      <c r="J182" t="str">
        <f t="shared" si="10"/>
        <v>Level 2</v>
      </c>
      <c r="K182" t="str">
        <f t="shared" si="11"/>
        <v>None of</v>
      </c>
      <c r="L182" t="str">
        <f t="shared" si="12"/>
        <v>None of</v>
      </c>
      <c r="N182" t="s">
        <v>61</v>
      </c>
      <c r="O182" t="s">
        <v>59</v>
      </c>
      <c r="P182" t="s">
        <v>60</v>
      </c>
    </row>
    <row r="183" spans="1:16" x14ac:dyDescent="0.45">
      <c r="A183" t="s">
        <v>35</v>
      </c>
      <c r="B183" t="s">
        <v>1</v>
      </c>
      <c r="C183">
        <v>1</v>
      </c>
      <c r="D183" t="s">
        <v>39</v>
      </c>
      <c r="E183">
        <v>2</v>
      </c>
      <c r="F183" t="s">
        <v>48</v>
      </c>
      <c r="G183" t="s">
        <v>48</v>
      </c>
      <c r="H183" t="s">
        <v>48</v>
      </c>
      <c r="I183">
        <f t="shared" si="14"/>
        <v>0</v>
      </c>
      <c r="J183" t="str">
        <f t="shared" si="10"/>
        <v>Level 2</v>
      </c>
      <c r="K183" t="str">
        <f t="shared" si="11"/>
        <v>Level 2</v>
      </c>
      <c r="L183" t="str">
        <f t="shared" si="12"/>
        <v>Level 2</v>
      </c>
      <c r="N183" t="s">
        <v>61</v>
      </c>
      <c r="O183" t="s">
        <v>59</v>
      </c>
      <c r="P183" t="s">
        <v>60</v>
      </c>
    </row>
    <row r="184" spans="1:16" x14ac:dyDescent="0.45">
      <c r="A184" t="s">
        <v>0</v>
      </c>
      <c r="B184" t="s">
        <v>8</v>
      </c>
      <c r="C184">
        <v>1</v>
      </c>
      <c r="D184" t="s">
        <v>2</v>
      </c>
      <c r="E184">
        <v>3</v>
      </c>
      <c r="F184" t="s">
        <v>49</v>
      </c>
      <c r="G184" t="s">
        <v>48</v>
      </c>
      <c r="H184" t="s">
        <v>50</v>
      </c>
      <c r="I184">
        <f t="shared" si="14"/>
        <v>0</v>
      </c>
      <c r="J184" t="str">
        <f t="shared" si="10"/>
        <v>Level 1</v>
      </c>
      <c r="K184" t="str">
        <f t="shared" si="11"/>
        <v>Level 2</v>
      </c>
      <c r="L184" t="str">
        <f t="shared" si="12"/>
        <v>Level 3</v>
      </c>
      <c r="N184" t="s">
        <v>61</v>
      </c>
      <c r="O184" t="s">
        <v>59</v>
      </c>
      <c r="P184" t="s">
        <v>60</v>
      </c>
    </row>
    <row r="185" spans="1:16" x14ac:dyDescent="0.45">
      <c r="A185" t="s">
        <v>7</v>
      </c>
      <c r="B185" t="s">
        <v>8</v>
      </c>
      <c r="C185">
        <v>1</v>
      </c>
      <c r="D185" t="s">
        <v>39</v>
      </c>
      <c r="E185">
        <v>3</v>
      </c>
      <c r="F185" t="s">
        <v>48</v>
      </c>
      <c r="G185" t="s">
        <v>50</v>
      </c>
      <c r="H185" t="s">
        <v>50</v>
      </c>
      <c r="I185">
        <f t="shared" si="14"/>
        <v>0</v>
      </c>
      <c r="J185" t="str">
        <f t="shared" si="10"/>
        <v>Level 2</v>
      </c>
      <c r="K185" t="str">
        <f t="shared" si="11"/>
        <v>Level 3</v>
      </c>
      <c r="L185" t="str">
        <f t="shared" si="12"/>
        <v>Level 3</v>
      </c>
      <c r="N185" t="s">
        <v>61</v>
      </c>
      <c r="O185" t="s">
        <v>59</v>
      </c>
      <c r="P185" t="s">
        <v>60</v>
      </c>
    </row>
    <row r="186" spans="1:16" x14ac:dyDescent="0.45">
      <c r="A186" t="s">
        <v>10</v>
      </c>
      <c r="B186" t="s">
        <v>8</v>
      </c>
      <c r="C186">
        <v>4</v>
      </c>
      <c r="D186" t="s">
        <v>29</v>
      </c>
      <c r="E186">
        <v>4</v>
      </c>
      <c r="F186" t="s">
        <v>48</v>
      </c>
      <c r="G186" t="s">
        <v>49</v>
      </c>
      <c r="H186" t="s">
        <v>50</v>
      </c>
      <c r="I186">
        <f t="shared" si="14"/>
        <v>0</v>
      </c>
      <c r="J186" t="str">
        <f t="shared" si="10"/>
        <v>Level 2</v>
      </c>
      <c r="K186" t="str">
        <f t="shared" si="11"/>
        <v>Level 1</v>
      </c>
      <c r="L186" t="str">
        <f t="shared" si="12"/>
        <v>Level 3</v>
      </c>
      <c r="N186" t="s">
        <v>61</v>
      </c>
      <c r="O186" t="s">
        <v>59</v>
      </c>
      <c r="P186" t="s">
        <v>60</v>
      </c>
    </row>
    <row r="187" spans="1:16" x14ac:dyDescent="0.45">
      <c r="A187" t="s">
        <v>9</v>
      </c>
      <c r="B187" t="s">
        <v>51</v>
      </c>
      <c r="C187">
        <v>2</v>
      </c>
      <c r="D187" t="s">
        <v>39</v>
      </c>
      <c r="E187">
        <v>3</v>
      </c>
      <c r="F187" t="s">
        <v>52</v>
      </c>
      <c r="G187" t="s">
        <v>53</v>
      </c>
      <c r="H187" t="s">
        <v>54</v>
      </c>
      <c r="I187">
        <f>IF(D187="Surprise",1,0)</f>
        <v>0</v>
      </c>
      <c r="J187" t="str">
        <f t="shared" si="10"/>
        <v>Level 1</v>
      </c>
      <c r="K187" t="str">
        <f t="shared" si="11"/>
        <v>Level 3</v>
      </c>
      <c r="L187" t="str">
        <f t="shared" si="12"/>
        <v>Level 2</v>
      </c>
      <c r="N187" t="s">
        <v>59</v>
      </c>
      <c r="O187" t="s">
        <v>60</v>
      </c>
      <c r="P187" t="s">
        <v>61</v>
      </c>
    </row>
    <row r="188" spans="1:16" x14ac:dyDescent="0.45">
      <c r="A188" t="s">
        <v>10</v>
      </c>
      <c r="B188" t="s">
        <v>1</v>
      </c>
      <c r="C188">
        <v>2</v>
      </c>
      <c r="D188" t="s">
        <v>29</v>
      </c>
      <c r="E188">
        <v>3</v>
      </c>
      <c r="F188" t="s">
        <v>52</v>
      </c>
      <c r="G188" t="s">
        <v>11</v>
      </c>
      <c r="H188" t="s">
        <v>53</v>
      </c>
      <c r="I188">
        <f t="shared" ref="I188:I222" si="15">IF(D188="Surprise",1,0)</f>
        <v>0</v>
      </c>
      <c r="J188" t="str">
        <f t="shared" si="10"/>
        <v>Level 1</v>
      </c>
      <c r="K188" t="str">
        <f t="shared" si="11"/>
        <v>None of</v>
      </c>
      <c r="L188" t="str">
        <f t="shared" si="12"/>
        <v>Level 3</v>
      </c>
      <c r="N188" t="s">
        <v>59</v>
      </c>
      <c r="O188" t="s">
        <v>60</v>
      </c>
      <c r="P188" t="s">
        <v>61</v>
      </c>
    </row>
    <row r="189" spans="1:16" x14ac:dyDescent="0.45">
      <c r="A189" t="s">
        <v>0</v>
      </c>
      <c r="B189" t="s">
        <v>1</v>
      </c>
      <c r="C189">
        <v>2</v>
      </c>
      <c r="D189" t="s">
        <v>2</v>
      </c>
      <c r="E189">
        <v>3</v>
      </c>
      <c r="F189" t="s">
        <v>52</v>
      </c>
      <c r="G189" t="s">
        <v>54</v>
      </c>
      <c r="H189" t="s">
        <v>53</v>
      </c>
      <c r="I189">
        <f t="shared" si="15"/>
        <v>0</v>
      </c>
      <c r="J189" t="str">
        <f t="shared" si="10"/>
        <v>Level 1</v>
      </c>
      <c r="K189" t="str">
        <f t="shared" si="11"/>
        <v>Level 2</v>
      </c>
      <c r="L189" t="str">
        <f t="shared" si="12"/>
        <v>Level 3</v>
      </c>
      <c r="N189" t="s">
        <v>59</v>
      </c>
      <c r="O189" t="s">
        <v>60</v>
      </c>
      <c r="P189" t="s">
        <v>61</v>
      </c>
    </row>
    <row r="190" spans="1:16" x14ac:dyDescent="0.45">
      <c r="A190" t="s">
        <v>0</v>
      </c>
      <c r="B190" t="s">
        <v>8</v>
      </c>
      <c r="C190">
        <v>3</v>
      </c>
      <c r="D190" t="s">
        <v>2</v>
      </c>
      <c r="E190">
        <v>3</v>
      </c>
      <c r="F190" t="s">
        <v>52</v>
      </c>
      <c r="G190" t="s">
        <v>54</v>
      </c>
      <c r="H190" t="s">
        <v>53</v>
      </c>
      <c r="I190">
        <f t="shared" si="15"/>
        <v>0</v>
      </c>
      <c r="J190" t="str">
        <f t="shared" si="10"/>
        <v>Level 1</v>
      </c>
      <c r="K190" t="str">
        <f t="shared" si="11"/>
        <v>Level 2</v>
      </c>
      <c r="L190" t="str">
        <f t="shared" si="12"/>
        <v>Level 3</v>
      </c>
      <c r="N190" t="s">
        <v>59</v>
      </c>
      <c r="O190" t="s">
        <v>60</v>
      </c>
      <c r="P190" t="s">
        <v>61</v>
      </c>
    </row>
    <row r="191" spans="1:16" x14ac:dyDescent="0.45">
      <c r="A191" t="s">
        <v>0</v>
      </c>
      <c r="B191" t="s">
        <v>8</v>
      </c>
      <c r="C191">
        <v>2</v>
      </c>
      <c r="D191" t="s">
        <v>2</v>
      </c>
      <c r="E191">
        <v>5</v>
      </c>
      <c r="F191" t="s">
        <v>11</v>
      </c>
      <c r="G191" t="s">
        <v>54</v>
      </c>
      <c r="H191" t="s">
        <v>52</v>
      </c>
      <c r="I191">
        <f t="shared" si="15"/>
        <v>0</v>
      </c>
      <c r="J191" t="str">
        <f t="shared" si="10"/>
        <v>None of</v>
      </c>
      <c r="K191" t="str">
        <f t="shared" si="11"/>
        <v>Level 2</v>
      </c>
      <c r="L191" t="str">
        <f t="shared" si="12"/>
        <v>Level 1</v>
      </c>
      <c r="N191" t="s">
        <v>59</v>
      </c>
      <c r="O191" t="s">
        <v>60</v>
      </c>
      <c r="P191" t="s">
        <v>61</v>
      </c>
    </row>
    <row r="192" spans="1:16" x14ac:dyDescent="0.45">
      <c r="A192" t="s">
        <v>0</v>
      </c>
      <c r="B192" t="s">
        <v>1</v>
      </c>
      <c r="C192">
        <v>3</v>
      </c>
      <c r="D192" t="s">
        <v>2</v>
      </c>
      <c r="E192">
        <v>3</v>
      </c>
      <c r="F192" t="s">
        <v>52</v>
      </c>
      <c r="G192" t="s">
        <v>54</v>
      </c>
      <c r="H192" t="s">
        <v>53</v>
      </c>
      <c r="I192">
        <f t="shared" si="15"/>
        <v>0</v>
      </c>
      <c r="J192" t="str">
        <f t="shared" si="10"/>
        <v>Level 1</v>
      </c>
      <c r="K192" t="str">
        <f t="shared" si="11"/>
        <v>Level 2</v>
      </c>
      <c r="L192" t="str">
        <f t="shared" si="12"/>
        <v>Level 3</v>
      </c>
      <c r="N192" t="s">
        <v>59</v>
      </c>
      <c r="O192" t="s">
        <v>60</v>
      </c>
      <c r="P192" t="s">
        <v>61</v>
      </c>
    </row>
    <row r="193" spans="1:16" x14ac:dyDescent="0.45">
      <c r="A193" t="s">
        <v>0</v>
      </c>
      <c r="B193" t="s">
        <v>8</v>
      </c>
      <c r="C193">
        <v>4</v>
      </c>
      <c r="D193" t="s">
        <v>2</v>
      </c>
      <c r="E193">
        <v>5</v>
      </c>
      <c r="F193" t="s">
        <v>52</v>
      </c>
      <c r="G193" t="s">
        <v>53</v>
      </c>
      <c r="H193" t="s">
        <v>54</v>
      </c>
      <c r="I193">
        <f t="shared" si="15"/>
        <v>0</v>
      </c>
      <c r="J193" t="str">
        <f t="shared" si="10"/>
        <v>Level 1</v>
      </c>
      <c r="K193" t="str">
        <f t="shared" si="11"/>
        <v>Level 3</v>
      </c>
      <c r="L193" t="str">
        <f t="shared" si="12"/>
        <v>Level 2</v>
      </c>
      <c r="N193" t="s">
        <v>59</v>
      </c>
      <c r="O193" t="s">
        <v>60</v>
      </c>
      <c r="P193" t="s">
        <v>61</v>
      </c>
    </row>
    <row r="194" spans="1:16" x14ac:dyDescent="0.45">
      <c r="A194" t="s">
        <v>0</v>
      </c>
      <c r="B194" t="s">
        <v>1</v>
      </c>
      <c r="C194">
        <v>1</v>
      </c>
      <c r="D194" t="s">
        <v>2</v>
      </c>
      <c r="E194">
        <v>5</v>
      </c>
      <c r="F194" t="s">
        <v>54</v>
      </c>
      <c r="G194" t="s">
        <v>52</v>
      </c>
      <c r="H194" t="s">
        <v>53</v>
      </c>
      <c r="I194">
        <f t="shared" si="15"/>
        <v>0</v>
      </c>
      <c r="J194" t="str">
        <f t="shared" si="10"/>
        <v>Level 2</v>
      </c>
      <c r="K194" t="str">
        <f t="shared" si="11"/>
        <v>Level 1</v>
      </c>
      <c r="L194" t="str">
        <f t="shared" si="12"/>
        <v>Level 3</v>
      </c>
      <c r="N194" t="s">
        <v>59</v>
      </c>
      <c r="O194" t="s">
        <v>60</v>
      </c>
      <c r="P194" t="s">
        <v>61</v>
      </c>
    </row>
    <row r="195" spans="1:16" x14ac:dyDescent="0.45">
      <c r="A195" t="s">
        <v>9</v>
      </c>
      <c r="B195" t="s">
        <v>1</v>
      </c>
      <c r="C195">
        <v>3</v>
      </c>
      <c r="D195" t="s">
        <v>2</v>
      </c>
      <c r="E195">
        <v>5</v>
      </c>
      <c r="F195" t="s">
        <v>52</v>
      </c>
      <c r="G195" t="s">
        <v>53</v>
      </c>
      <c r="H195" t="s">
        <v>54</v>
      </c>
      <c r="I195">
        <f t="shared" si="15"/>
        <v>0</v>
      </c>
      <c r="J195" t="str">
        <f t="shared" ref="J195:J222" si="16">LEFT(F195,7)</f>
        <v>Level 1</v>
      </c>
      <c r="K195" t="str">
        <f t="shared" ref="K195:K222" si="17">LEFT(G195,7)</f>
        <v>Level 3</v>
      </c>
      <c r="L195" t="str">
        <f t="shared" ref="L195:L222" si="18">LEFT(H195,7)</f>
        <v>Level 2</v>
      </c>
      <c r="N195" t="s">
        <v>59</v>
      </c>
      <c r="O195" t="s">
        <v>60</v>
      </c>
      <c r="P195" t="s">
        <v>61</v>
      </c>
    </row>
    <row r="196" spans="1:16" x14ac:dyDescent="0.45">
      <c r="A196" t="s">
        <v>9</v>
      </c>
      <c r="B196" t="s">
        <v>1</v>
      </c>
      <c r="C196">
        <v>3</v>
      </c>
      <c r="D196" t="s">
        <v>2</v>
      </c>
      <c r="E196">
        <v>3</v>
      </c>
      <c r="F196" t="s">
        <v>52</v>
      </c>
      <c r="G196" t="s">
        <v>54</v>
      </c>
      <c r="H196" t="s">
        <v>53</v>
      </c>
      <c r="I196">
        <f t="shared" si="15"/>
        <v>0</v>
      </c>
      <c r="J196" t="str">
        <f t="shared" si="16"/>
        <v>Level 1</v>
      </c>
      <c r="K196" t="str">
        <f t="shared" si="17"/>
        <v>Level 2</v>
      </c>
      <c r="L196" t="str">
        <f t="shared" si="18"/>
        <v>Level 3</v>
      </c>
      <c r="N196" t="s">
        <v>59</v>
      </c>
      <c r="O196" t="s">
        <v>60</v>
      </c>
      <c r="P196" t="s">
        <v>61</v>
      </c>
    </row>
    <row r="197" spans="1:16" x14ac:dyDescent="0.45">
      <c r="A197" t="s">
        <v>9</v>
      </c>
      <c r="B197" t="s">
        <v>8</v>
      </c>
      <c r="C197">
        <v>2</v>
      </c>
      <c r="D197" t="s">
        <v>33</v>
      </c>
      <c r="E197">
        <v>4</v>
      </c>
      <c r="F197" t="s">
        <v>52</v>
      </c>
      <c r="G197" t="s">
        <v>53</v>
      </c>
      <c r="H197" t="s">
        <v>53</v>
      </c>
      <c r="I197">
        <f t="shared" si="15"/>
        <v>1</v>
      </c>
      <c r="J197" t="str">
        <f t="shared" si="16"/>
        <v>Level 1</v>
      </c>
      <c r="K197" t="str">
        <f t="shared" si="17"/>
        <v>Level 3</v>
      </c>
      <c r="L197" t="str">
        <f t="shared" si="18"/>
        <v>Level 3</v>
      </c>
      <c r="N197" t="s">
        <v>59</v>
      </c>
      <c r="O197" t="s">
        <v>60</v>
      </c>
      <c r="P197" t="s">
        <v>61</v>
      </c>
    </row>
    <row r="198" spans="1:16" x14ac:dyDescent="0.45">
      <c r="A198" t="s">
        <v>9</v>
      </c>
      <c r="B198" t="s">
        <v>1</v>
      </c>
      <c r="C198">
        <v>1</v>
      </c>
      <c r="D198" t="s">
        <v>33</v>
      </c>
      <c r="E198">
        <v>4</v>
      </c>
      <c r="F198" t="s">
        <v>52</v>
      </c>
      <c r="G198" t="s">
        <v>54</v>
      </c>
      <c r="H198" t="s">
        <v>53</v>
      </c>
      <c r="I198">
        <f t="shared" si="15"/>
        <v>1</v>
      </c>
      <c r="J198" t="str">
        <f t="shared" si="16"/>
        <v>Level 1</v>
      </c>
      <c r="K198" t="str">
        <f t="shared" si="17"/>
        <v>Level 2</v>
      </c>
      <c r="L198" t="str">
        <f t="shared" si="18"/>
        <v>Level 3</v>
      </c>
      <c r="N198" t="s">
        <v>59</v>
      </c>
      <c r="O198" t="s">
        <v>60</v>
      </c>
      <c r="P198" t="s">
        <v>61</v>
      </c>
    </row>
    <row r="199" spans="1:16" x14ac:dyDescent="0.45">
      <c r="A199" t="s">
        <v>7</v>
      </c>
      <c r="B199" t="s">
        <v>1</v>
      </c>
      <c r="C199">
        <v>4</v>
      </c>
      <c r="D199" t="s">
        <v>33</v>
      </c>
      <c r="E199">
        <v>5</v>
      </c>
      <c r="F199" t="s">
        <v>52</v>
      </c>
      <c r="G199" t="s">
        <v>53</v>
      </c>
      <c r="H199" t="s">
        <v>54</v>
      </c>
      <c r="I199">
        <f t="shared" si="15"/>
        <v>1</v>
      </c>
      <c r="J199" t="str">
        <f t="shared" si="16"/>
        <v>Level 1</v>
      </c>
      <c r="K199" t="str">
        <f t="shared" si="17"/>
        <v>Level 3</v>
      </c>
      <c r="L199" t="str">
        <f t="shared" si="18"/>
        <v>Level 2</v>
      </c>
      <c r="N199" t="s">
        <v>59</v>
      </c>
      <c r="O199" t="s">
        <v>60</v>
      </c>
      <c r="P199" t="s">
        <v>61</v>
      </c>
    </row>
    <row r="200" spans="1:16" x14ac:dyDescent="0.45">
      <c r="A200" t="s">
        <v>0</v>
      </c>
      <c r="B200" t="s">
        <v>1</v>
      </c>
      <c r="C200">
        <v>3</v>
      </c>
      <c r="D200" t="s">
        <v>2</v>
      </c>
      <c r="E200">
        <v>3</v>
      </c>
      <c r="F200" t="s">
        <v>52</v>
      </c>
      <c r="G200" t="s">
        <v>54</v>
      </c>
      <c r="H200" t="s">
        <v>53</v>
      </c>
      <c r="I200">
        <f t="shared" si="15"/>
        <v>0</v>
      </c>
      <c r="J200" t="str">
        <f t="shared" si="16"/>
        <v>Level 1</v>
      </c>
      <c r="K200" t="str">
        <f t="shared" si="17"/>
        <v>Level 2</v>
      </c>
      <c r="L200" t="str">
        <f t="shared" si="18"/>
        <v>Level 3</v>
      </c>
      <c r="N200" t="s">
        <v>59</v>
      </c>
      <c r="O200" t="s">
        <v>60</v>
      </c>
      <c r="P200" t="s">
        <v>61</v>
      </c>
    </row>
    <row r="201" spans="1:16" x14ac:dyDescent="0.45">
      <c r="A201" t="s">
        <v>0</v>
      </c>
      <c r="B201" t="s">
        <v>1</v>
      </c>
      <c r="C201">
        <v>5</v>
      </c>
      <c r="D201" t="s">
        <v>33</v>
      </c>
      <c r="E201">
        <v>4</v>
      </c>
      <c r="F201" t="s">
        <v>52</v>
      </c>
      <c r="G201" t="s">
        <v>53</v>
      </c>
      <c r="H201" t="s">
        <v>54</v>
      </c>
      <c r="I201">
        <f t="shared" si="15"/>
        <v>1</v>
      </c>
      <c r="J201" t="str">
        <f t="shared" si="16"/>
        <v>Level 1</v>
      </c>
      <c r="K201" t="str">
        <f t="shared" si="17"/>
        <v>Level 3</v>
      </c>
      <c r="L201" t="str">
        <f t="shared" si="18"/>
        <v>Level 2</v>
      </c>
      <c r="N201" t="s">
        <v>59</v>
      </c>
      <c r="O201" t="s">
        <v>60</v>
      </c>
      <c r="P201" t="s">
        <v>61</v>
      </c>
    </row>
    <row r="202" spans="1:16" x14ac:dyDescent="0.45">
      <c r="A202" t="s">
        <v>0</v>
      </c>
      <c r="B202" t="s">
        <v>8</v>
      </c>
      <c r="C202">
        <v>2</v>
      </c>
      <c r="D202" t="s">
        <v>2</v>
      </c>
      <c r="E202">
        <v>5</v>
      </c>
      <c r="F202" t="s">
        <v>52</v>
      </c>
      <c r="G202" t="s">
        <v>52</v>
      </c>
      <c r="H202" t="s">
        <v>11</v>
      </c>
      <c r="I202">
        <f t="shared" si="15"/>
        <v>0</v>
      </c>
      <c r="J202" t="str">
        <f t="shared" si="16"/>
        <v>Level 1</v>
      </c>
      <c r="K202" t="str">
        <f t="shared" si="17"/>
        <v>Level 1</v>
      </c>
      <c r="L202" t="str">
        <f t="shared" si="18"/>
        <v>None of</v>
      </c>
      <c r="N202" t="s">
        <v>59</v>
      </c>
      <c r="O202" t="s">
        <v>60</v>
      </c>
      <c r="P202" t="s">
        <v>61</v>
      </c>
    </row>
    <row r="203" spans="1:16" x14ac:dyDescent="0.45">
      <c r="A203" t="s">
        <v>35</v>
      </c>
      <c r="B203" t="s">
        <v>1</v>
      </c>
      <c r="C203">
        <v>1</v>
      </c>
      <c r="D203" t="s">
        <v>33</v>
      </c>
      <c r="E203">
        <v>5</v>
      </c>
      <c r="F203" t="s">
        <v>52</v>
      </c>
      <c r="G203" t="s">
        <v>53</v>
      </c>
      <c r="H203" t="s">
        <v>54</v>
      </c>
      <c r="I203">
        <f t="shared" si="15"/>
        <v>1</v>
      </c>
      <c r="J203" t="str">
        <f t="shared" si="16"/>
        <v>Level 1</v>
      </c>
      <c r="K203" t="str">
        <f t="shared" si="17"/>
        <v>Level 3</v>
      </c>
      <c r="L203" t="str">
        <f t="shared" si="18"/>
        <v>Level 2</v>
      </c>
      <c r="N203" t="s">
        <v>59</v>
      </c>
      <c r="O203" t="s">
        <v>60</v>
      </c>
      <c r="P203" t="s">
        <v>61</v>
      </c>
    </row>
    <row r="204" spans="1:16" x14ac:dyDescent="0.45">
      <c r="A204" t="s">
        <v>9</v>
      </c>
      <c r="B204" t="s">
        <v>8</v>
      </c>
      <c r="C204">
        <v>2</v>
      </c>
      <c r="D204" t="s">
        <v>2</v>
      </c>
      <c r="E204">
        <v>1</v>
      </c>
      <c r="F204" t="s">
        <v>52</v>
      </c>
      <c r="G204" t="s">
        <v>53</v>
      </c>
      <c r="H204" t="s">
        <v>54</v>
      </c>
      <c r="I204">
        <f t="shared" si="15"/>
        <v>0</v>
      </c>
      <c r="J204" t="str">
        <f t="shared" si="16"/>
        <v>Level 1</v>
      </c>
      <c r="K204" t="str">
        <f t="shared" si="17"/>
        <v>Level 3</v>
      </c>
      <c r="L204" t="str">
        <f t="shared" si="18"/>
        <v>Level 2</v>
      </c>
      <c r="N204" t="s">
        <v>59</v>
      </c>
      <c r="O204" t="s">
        <v>60</v>
      </c>
      <c r="P204" t="s">
        <v>61</v>
      </c>
    </row>
    <row r="205" spans="1:16" x14ac:dyDescent="0.45">
      <c r="A205" t="s">
        <v>9</v>
      </c>
      <c r="B205" t="s">
        <v>1</v>
      </c>
      <c r="C205">
        <v>5</v>
      </c>
      <c r="D205" t="s">
        <v>2</v>
      </c>
      <c r="E205">
        <v>4</v>
      </c>
      <c r="F205" t="s">
        <v>54</v>
      </c>
      <c r="G205" t="s">
        <v>52</v>
      </c>
      <c r="H205" t="s">
        <v>53</v>
      </c>
      <c r="I205">
        <f t="shared" si="15"/>
        <v>0</v>
      </c>
      <c r="J205" t="str">
        <f t="shared" si="16"/>
        <v>Level 2</v>
      </c>
      <c r="K205" t="str">
        <f t="shared" si="17"/>
        <v>Level 1</v>
      </c>
      <c r="L205" t="str">
        <f t="shared" si="18"/>
        <v>Level 3</v>
      </c>
      <c r="N205" t="s">
        <v>59</v>
      </c>
      <c r="O205" t="s">
        <v>60</v>
      </c>
      <c r="P205" t="s">
        <v>61</v>
      </c>
    </row>
    <row r="206" spans="1:16" x14ac:dyDescent="0.45">
      <c r="A206" t="s">
        <v>7</v>
      </c>
      <c r="B206" t="s">
        <v>8</v>
      </c>
      <c r="C206">
        <v>1</v>
      </c>
      <c r="D206" t="s">
        <v>33</v>
      </c>
      <c r="E206">
        <v>4</v>
      </c>
      <c r="F206" t="s">
        <v>52</v>
      </c>
      <c r="G206" t="s">
        <v>54</v>
      </c>
      <c r="H206" t="s">
        <v>53</v>
      </c>
      <c r="I206">
        <f t="shared" si="15"/>
        <v>1</v>
      </c>
      <c r="J206" t="str">
        <f t="shared" si="16"/>
        <v>Level 1</v>
      </c>
      <c r="K206" t="str">
        <f t="shared" si="17"/>
        <v>Level 2</v>
      </c>
      <c r="L206" t="str">
        <f t="shared" si="18"/>
        <v>Level 3</v>
      </c>
      <c r="N206" t="s">
        <v>59</v>
      </c>
      <c r="O206" t="s">
        <v>60</v>
      </c>
      <c r="P206" t="s">
        <v>61</v>
      </c>
    </row>
    <row r="207" spans="1:16" x14ac:dyDescent="0.45">
      <c r="A207" t="s">
        <v>7</v>
      </c>
      <c r="B207" t="s">
        <v>8</v>
      </c>
      <c r="C207">
        <v>1</v>
      </c>
      <c r="D207" t="s">
        <v>33</v>
      </c>
      <c r="E207">
        <v>5</v>
      </c>
      <c r="F207" t="s">
        <v>52</v>
      </c>
      <c r="G207" t="s">
        <v>54</v>
      </c>
      <c r="H207" t="s">
        <v>53</v>
      </c>
      <c r="I207">
        <f t="shared" si="15"/>
        <v>1</v>
      </c>
      <c r="J207" t="str">
        <f t="shared" si="16"/>
        <v>Level 1</v>
      </c>
      <c r="K207" t="str">
        <f t="shared" si="17"/>
        <v>Level 2</v>
      </c>
      <c r="L207" t="str">
        <f t="shared" si="18"/>
        <v>Level 3</v>
      </c>
      <c r="N207" t="s">
        <v>59</v>
      </c>
      <c r="O207" t="s">
        <v>60</v>
      </c>
      <c r="P207" t="s">
        <v>61</v>
      </c>
    </row>
    <row r="208" spans="1:16" x14ac:dyDescent="0.45">
      <c r="A208" t="s">
        <v>35</v>
      </c>
      <c r="B208" t="s">
        <v>1</v>
      </c>
      <c r="C208">
        <v>1</v>
      </c>
      <c r="D208" t="s">
        <v>33</v>
      </c>
      <c r="E208">
        <v>4</v>
      </c>
      <c r="F208" t="s">
        <v>52</v>
      </c>
      <c r="G208" t="s">
        <v>53</v>
      </c>
      <c r="H208" t="s">
        <v>53</v>
      </c>
      <c r="I208">
        <f t="shared" si="15"/>
        <v>1</v>
      </c>
      <c r="J208" t="str">
        <f t="shared" si="16"/>
        <v>Level 1</v>
      </c>
      <c r="K208" t="str">
        <f t="shared" si="17"/>
        <v>Level 3</v>
      </c>
      <c r="L208" t="str">
        <f t="shared" si="18"/>
        <v>Level 3</v>
      </c>
      <c r="N208" t="s">
        <v>59</v>
      </c>
      <c r="O208" t="s">
        <v>60</v>
      </c>
      <c r="P208" t="s">
        <v>61</v>
      </c>
    </row>
    <row r="209" spans="1:16" x14ac:dyDescent="0.45">
      <c r="A209" t="s">
        <v>35</v>
      </c>
      <c r="B209" t="s">
        <v>8</v>
      </c>
      <c r="C209">
        <v>2</v>
      </c>
      <c r="D209" t="s">
        <v>33</v>
      </c>
      <c r="E209">
        <v>5</v>
      </c>
      <c r="F209" t="s">
        <v>52</v>
      </c>
      <c r="G209" t="s">
        <v>53</v>
      </c>
      <c r="H209" t="s">
        <v>54</v>
      </c>
      <c r="I209">
        <f t="shared" si="15"/>
        <v>1</v>
      </c>
      <c r="J209" t="str">
        <f t="shared" si="16"/>
        <v>Level 1</v>
      </c>
      <c r="K209" t="str">
        <f t="shared" si="17"/>
        <v>Level 3</v>
      </c>
      <c r="L209" t="str">
        <f t="shared" si="18"/>
        <v>Level 2</v>
      </c>
      <c r="N209" t="s">
        <v>59</v>
      </c>
      <c r="O209" t="s">
        <v>60</v>
      </c>
      <c r="P209" t="s">
        <v>61</v>
      </c>
    </row>
    <row r="210" spans="1:16" x14ac:dyDescent="0.45">
      <c r="A210" t="s">
        <v>35</v>
      </c>
      <c r="B210" t="s">
        <v>8</v>
      </c>
      <c r="C210">
        <v>2</v>
      </c>
      <c r="D210" t="s">
        <v>2</v>
      </c>
      <c r="E210">
        <v>3</v>
      </c>
      <c r="F210" t="s">
        <v>52</v>
      </c>
      <c r="G210" t="s">
        <v>53</v>
      </c>
      <c r="H210" t="s">
        <v>54</v>
      </c>
      <c r="I210">
        <f t="shared" si="15"/>
        <v>0</v>
      </c>
      <c r="J210" t="str">
        <f t="shared" si="16"/>
        <v>Level 1</v>
      </c>
      <c r="K210" t="str">
        <f t="shared" si="17"/>
        <v>Level 3</v>
      </c>
      <c r="L210" t="str">
        <f t="shared" si="18"/>
        <v>Level 2</v>
      </c>
      <c r="N210" t="s">
        <v>59</v>
      </c>
      <c r="O210" t="s">
        <v>60</v>
      </c>
      <c r="P210" t="s">
        <v>61</v>
      </c>
    </row>
    <row r="211" spans="1:16" x14ac:dyDescent="0.45">
      <c r="A211" t="s">
        <v>0</v>
      </c>
      <c r="B211" t="s">
        <v>1</v>
      </c>
      <c r="C211">
        <v>3</v>
      </c>
      <c r="D211" t="s">
        <v>2</v>
      </c>
      <c r="E211">
        <v>4</v>
      </c>
      <c r="F211" t="s">
        <v>52</v>
      </c>
      <c r="G211" t="s">
        <v>54</v>
      </c>
      <c r="H211" t="s">
        <v>53</v>
      </c>
      <c r="I211">
        <f t="shared" si="15"/>
        <v>0</v>
      </c>
      <c r="J211" t="str">
        <f t="shared" si="16"/>
        <v>Level 1</v>
      </c>
      <c r="K211" t="str">
        <f t="shared" si="17"/>
        <v>Level 2</v>
      </c>
      <c r="L211" t="str">
        <f t="shared" si="18"/>
        <v>Level 3</v>
      </c>
      <c r="N211" t="s">
        <v>59</v>
      </c>
      <c r="O211" t="s">
        <v>60</v>
      </c>
      <c r="P211" t="s">
        <v>61</v>
      </c>
    </row>
    <row r="212" spans="1:16" x14ac:dyDescent="0.45">
      <c r="A212" t="s">
        <v>55</v>
      </c>
      <c r="B212" t="s">
        <v>1</v>
      </c>
      <c r="C212">
        <v>1</v>
      </c>
      <c r="D212" t="s">
        <v>2</v>
      </c>
      <c r="E212">
        <v>1</v>
      </c>
      <c r="F212" t="s">
        <v>52</v>
      </c>
      <c r="G212" t="s">
        <v>54</v>
      </c>
      <c r="H212" t="s">
        <v>53</v>
      </c>
      <c r="I212">
        <f t="shared" si="15"/>
        <v>0</v>
      </c>
      <c r="J212" t="str">
        <f t="shared" si="16"/>
        <v>Level 1</v>
      </c>
      <c r="K212" t="str">
        <f t="shared" si="17"/>
        <v>Level 2</v>
      </c>
      <c r="L212" t="str">
        <f t="shared" si="18"/>
        <v>Level 3</v>
      </c>
      <c r="N212" t="s">
        <v>59</v>
      </c>
      <c r="O212" t="s">
        <v>60</v>
      </c>
      <c r="P212" t="s">
        <v>61</v>
      </c>
    </row>
    <row r="213" spans="1:16" x14ac:dyDescent="0.45">
      <c r="A213" t="s">
        <v>7</v>
      </c>
      <c r="B213" t="s">
        <v>8</v>
      </c>
      <c r="C213">
        <v>1</v>
      </c>
      <c r="D213" t="s">
        <v>2</v>
      </c>
      <c r="E213">
        <v>3</v>
      </c>
      <c r="F213" t="s">
        <v>11</v>
      </c>
      <c r="G213" t="s">
        <v>53</v>
      </c>
      <c r="H213" t="s">
        <v>52</v>
      </c>
      <c r="I213">
        <f t="shared" si="15"/>
        <v>0</v>
      </c>
      <c r="J213" t="str">
        <f t="shared" si="16"/>
        <v>None of</v>
      </c>
      <c r="K213" t="str">
        <f t="shared" si="17"/>
        <v>Level 3</v>
      </c>
      <c r="L213" t="str">
        <f t="shared" si="18"/>
        <v>Level 1</v>
      </c>
      <c r="N213" t="s">
        <v>59</v>
      </c>
      <c r="O213" t="s">
        <v>60</v>
      </c>
      <c r="P213" t="s">
        <v>61</v>
      </c>
    </row>
    <row r="214" spans="1:16" x14ac:dyDescent="0.45">
      <c r="A214" t="s">
        <v>7</v>
      </c>
      <c r="B214" t="s">
        <v>1</v>
      </c>
      <c r="C214">
        <v>3</v>
      </c>
      <c r="D214" t="s">
        <v>2</v>
      </c>
      <c r="E214">
        <v>4</v>
      </c>
      <c r="F214" t="s">
        <v>52</v>
      </c>
      <c r="G214" t="s">
        <v>52</v>
      </c>
      <c r="H214" t="s">
        <v>53</v>
      </c>
      <c r="I214">
        <f t="shared" si="15"/>
        <v>0</v>
      </c>
      <c r="J214" t="str">
        <f t="shared" si="16"/>
        <v>Level 1</v>
      </c>
      <c r="K214" t="str">
        <f t="shared" si="17"/>
        <v>Level 1</v>
      </c>
      <c r="L214" t="str">
        <f t="shared" si="18"/>
        <v>Level 3</v>
      </c>
      <c r="N214" t="s">
        <v>59</v>
      </c>
      <c r="O214" t="s">
        <v>60</v>
      </c>
      <c r="P214" t="s">
        <v>61</v>
      </c>
    </row>
    <row r="215" spans="1:16" x14ac:dyDescent="0.45">
      <c r="A215" t="s">
        <v>7</v>
      </c>
      <c r="B215" t="s">
        <v>8</v>
      </c>
      <c r="C215">
        <v>3</v>
      </c>
      <c r="D215" t="s">
        <v>33</v>
      </c>
      <c r="E215">
        <v>4</v>
      </c>
      <c r="F215" t="s">
        <v>52</v>
      </c>
      <c r="G215" t="s">
        <v>54</v>
      </c>
      <c r="H215" t="s">
        <v>53</v>
      </c>
      <c r="I215">
        <f t="shared" si="15"/>
        <v>1</v>
      </c>
      <c r="J215" t="str">
        <f t="shared" si="16"/>
        <v>Level 1</v>
      </c>
      <c r="K215" t="str">
        <f t="shared" si="17"/>
        <v>Level 2</v>
      </c>
      <c r="L215" t="str">
        <f t="shared" si="18"/>
        <v>Level 3</v>
      </c>
      <c r="N215" t="s">
        <v>59</v>
      </c>
      <c r="O215" t="s">
        <v>60</v>
      </c>
      <c r="P215" t="s">
        <v>61</v>
      </c>
    </row>
    <row r="216" spans="1:16" x14ac:dyDescent="0.45">
      <c r="A216" t="s">
        <v>9</v>
      </c>
      <c r="B216" t="s">
        <v>1</v>
      </c>
      <c r="C216">
        <v>1</v>
      </c>
      <c r="D216" t="s">
        <v>2</v>
      </c>
      <c r="E216">
        <v>2</v>
      </c>
      <c r="F216" t="s">
        <v>52</v>
      </c>
      <c r="G216" t="s">
        <v>54</v>
      </c>
      <c r="H216" t="s">
        <v>53</v>
      </c>
      <c r="I216">
        <f t="shared" si="15"/>
        <v>0</v>
      </c>
      <c r="J216" t="str">
        <f t="shared" si="16"/>
        <v>Level 1</v>
      </c>
      <c r="K216" t="str">
        <f t="shared" si="17"/>
        <v>Level 2</v>
      </c>
      <c r="L216" t="str">
        <f t="shared" si="18"/>
        <v>Level 3</v>
      </c>
      <c r="N216" t="s">
        <v>59</v>
      </c>
      <c r="O216" t="s">
        <v>60</v>
      </c>
      <c r="P216" t="s">
        <v>61</v>
      </c>
    </row>
    <row r="217" spans="1:16" x14ac:dyDescent="0.45">
      <c r="A217" t="s">
        <v>7</v>
      </c>
      <c r="B217" t="s">
        <v>8</v>
      </c>
      <c r="C217">
        <v>1</v>
      </c>
      <c r="D217" t="s">
        <v>2</v>
      </c>
      <c r="E217">
        <v>4</v>
      </c>
      <c r="F217" t="s">
        <v>52</v>
      </c>
      <c r="G217" t="s">
        <v>54</v>
      </c>
      <c r="H217" t="s">
        <v>53</v>
      </c>
      <c r="I217">
        <f t="shared" si="15"/>
        <v>0</v>
      </c>
      <c r="J217" t="str">
        <f t="shared" si="16"/>
        <v>Level 1</v>
      </c>
      <c r="K217" t="str">
        <f t="shared" si="17"/>
        <v>Level 2</v>
      </c>
      <c r="L217" t="str">
        <f t="shared" si="18"/>
        <v>Level 3</v>
      </c>
      <c r="N217" t="s">
        <v>59</v>
      </c>
      <c r="O217" t="s">
        <v>60</v>
      </c>
      <c r="P217" t="s">
        <v>61</v>
      </c>
    </row>
    <row r="218" spans="1:16" x14ac:dyDescent="0.45">
      <c r="A218" t="s">
        <v>9</v>
      </c>
      <c r="B218" t="s">
        <v>8</v>
      </c>
      <c r="C218">
        <v>1</v>
      </c>
      <c r="D218" t="s">
        <v>2</v>
      </c>
      <c r="E218">
        <v>4</v>
      </c>
      <c r="F218" t="s">
        <v>52</v>
      </c>
      <c r="G218" t="s">
        <v>54</v>
      </c>
      <c r="H218" t="s">
        <v>53</v>
      </c>
      <c r="I218">
        <f t="shared" si="15"/>
        <v>0</v>
      </c>
      <c r="J218" t="str">
        <f t="shared" si="16"/>
        <v>Level 1</v>
      </c>
      <c r="K218" t="str">
        <f t="shared" si="17"/>
        <v>Level 2</v>
      </c>
      <c r="L218" t="str">
        <f t="shared" si="18"/>
        <v>Level 3</v>
      </c>
      <c r="N218" t="s">
        <v>59</v>
      </c>
      <c r="O218" t="s">
        <v>60</v>
      </c>
      <c r="P218" t="s">
        <v>61</v>
      </c>
    </row>
    <row r="219" spans="1:16" x14ac:dyDescent="0.45">
      <c r="A219" t="s">
        <v>7</v>
      </c>
      <c r="B219" t="s">
        <v>1</v>
      </c>
      <c r="C219">
        <v>2</v>
      </c>
      <c r="D219" t="s">
        <v>2</v>
      </c>
      <c r="E219">
        <v>4</v>
      </c>
      <c r="F219" t="s">
        <v>54</v>
      </c>
      <c r="G219" t="s">
        <v>52</v>
      </c>
      <c r="H219" t="s">
        <v>53</v>
      </c>
      <c r="I219">
        <f t="shared" si="15"/>
        <v>0</v>
      </c>
      <c r="J219" t="str">
        <f t="shared" si="16"/>
        <v>Level 2</v>
      </c>
      <c r="K219" t="str">
        <f t="shared" si="17"/>
        <v>Level 1</v>
      </c>
      <c r="L219" t="str">
        <f t="shared" si="18"/>
        <v>Level 3</v>
      </c>
      <c r="N219" t="s">
        <v>59</v>
      </c>
      <c r="O219" t="s">
        <v>60</v>
      </c>
      <c r="P219" t="s">
        <v>61</v>
      </c>
    </row>
    <row r="220" spans="1:16" x14ac:dyDescent="0.45">
      <c r="A220" t="s">
        <v>7</v>
      </c>
      <c r="B220" t="s">
        <v>1</v>
      </c>
      <c r="C220">
        <v>1</v>
      </c>
      <c r="D220" t="s">
        <v>2</v>
      </c>
      <c r="E220">
        <v>4</v>
      </c>
      <c r="F220" t="s">
        <v>11</v>
      </c>
      <c r="G220" t="s">
        <v>52</v>
      </c>
      <c r="H220" t="s">
        <v>53</v>
      </c>
      <c r="I220">
        <f t="shared" si="15"/>
        <v>0</v>
      </c>
      <c r="J220" t="str">
        <f t="shared" si="16"/>
        <v>None of</v>
      </c>
      <c r="K220" t="str">
        <f t="shared" si="17"/>
        <v>Level 1</v>
      </c>
      <c r="L220" t="str">
        <f t="shared" si="18"/>
        <v>Level 3</v>
      </c>
      <c r="N220" t="s">
        <v>59</v>
      </c>
      <c r="O220" t="s">
        <v>60</v>
      </c>
      <c r="P220" t="s">
        <v>61</v>
      </c>
    </row>
    <row r="221" spans="1:16" x14ac:dyDescent="0.45">
      <c r="A221" t="s">
        <v>9</v>
      </c>
      <c r="B221" t="s">
        <v>1</v>
      </c>
      <c r="C221">
        <v>1</v>
      </c>
      <c r="D221" t="s">
        <v>2</v>
      </c>
      <c r="E221">
        <v>2</v>
      </c>
      <c r="F221" t="s">
        <v>52</v>
      </c>
      <c r="G221" t="s">
        <v>54</v>
      </c>
      <c r="H221" t="s">
        <v>53</v>
      </c>
      <c r="I221">
        <f t="shared" si="15"/>
        <v>0</v>
      </c>
      <c r="J221" t="str">
        <f t="shared" si="16"/>
        <v>Level 1</v>
      </c>
      <c r="K221" t="str">
        <f t="shared" si="17"/>
        <v>Level 2</v>
      </c>
      <c r="L221" t="str">
        <f t="shared" si="18"/>
        <v>Level 3</v>
      </c>
      <c r="N221" t="s">
        <v>59</v>
      </c>
      <c r="O221" t="s">
        <v>60</v>
      </c>
      <c r="P221" t="s">
        <v>61</v>
      </c>
    </row>
    <row r="222" spans="1:16" x14ac:dyDescent="0.45">
      <c r="A222" t="s">
        <v>9</v>
      </c>
      <c r="B222" t="s">
        <v>1</v>
      </c>
      <c r="C222">
        <v>3</v>
      </c>
      <c r="D222" t="s">
        <v>33</v>
      </c>
      <c r="E222">
        <v>4</v>
      </c>
      <c r="F222" t="s">
        <v>52</v>
      </c>
      <c r="G222" t="s">
        <v>53</v>
      </c>
      <c r="H222" t="s">
        <v>54</v>
      </c>
      <c r="I222">
        <f t="shared" si="15"/>
        <v>1</v>
      </c>
      <c r="J222" t="str">
        <f t="shared" si="16"/>
        <v>Level 1</v>
      </c>
      <c r="K222" t="str">
        <f t="shared" si="17"/>
        <v>Level 3</v>
      </c>
      <c r="L222" t="str">
        <f t="shared" si="18"/>
        <v>Level 2</v>
      </c>
      <c r="N222" t="s">
        <v>59</v>
      </c>
      <c r="O222" t="s">
        <v>60</v>
      </c>
      <c r="P222" t="s">
        <v>61</v>
      </c>
    </row>
    <row r="233" spans="9:12" ht="14.65" thickBot="1" x14ac:dyDescent="0.5"/>
    <row r="234" spans="9:12" ht="14.65" thickBot="1" x14ac:dyDescent="0.5">
      <c r="I234" s="9" t="s">
        <v>66</v>
      </c>
      <c r="J234" s="7" t="s">
        <v>63</v>
      </c>
      <c r="K234" s="7" t="s">
        <v>64</v>
      </c>
      <c r="L234" s="8" t="s">
        <v>65</v>
      </c>
    </row>
    <row r="235" spans="9:12" x14ac:dyDescent="0.45">
      <c r="I235" s="10" t="s">
        <v>63</v>
      </c>
      <c r="J235" s="3">
        <f>(COUNTIFS(N2:N222,"Level 1", J2:J222,"Level 1")
 + COUNTIFS(O2:O222,"Level 1", K2:K222,"Level 1")
 + COUNTIFS(P2:P222,"Level 1", L2:L222,"Level 1"))
 /
 (COUNTIF(N2:N222,"Level 1") + COUNTIF(O2:O222,"Level 1") + COUNTIF(P2:P222,"Level 1"))</f>
        <v>0.78733031674208143</v>
      </c>
      <c r="K235" s="3">
        <f>(COUNTIFS(N2:N222,"Level 1", J2:J222,"Level 2")
 + COUNTIFS(O2:O222,"Level 1", K2:K222,"Level 2")
 + COUNTIFS(P2:P222,"Level 1", L2:L222,"Level 2"))
 /
 (COUNTIF(N2:N222,"Level 1") + COUNTIF(O2:O222,"Level 1") + COUNTIF(P2:P222,"Level 1"))</f>
        <v>0.12669683257918551</v>
      </c>
      <c r="L235" s="4">
        <f>(COUNTIFS(N2:N222,"Level 1", J2:J222,"Level 3")
 + COUNTIFS(O2:O222,"Level 1", K2:K222,"Level 3")
 + COUNTIFS(P2:P222,"Level 1", L2:L222,"Level 3"))
 /
 (COUNTIF(N2:N222,"Level 1") + COUNTIF(O2:O222,"Level 1") + COUNTIF(P2:P222,"Level 1"))</f>
        <v>2.7149321266968326E-2</v>
      </c>
    </row>
    <row r="236" spans="9:12" x14ac:dyDescent="0.45">
      <c r="I236" s="10" t="s">
        <v>64</v>
      </c>
      <c r="J236" s="3">
        <f>(COUNTIFS(N2:N222,"Level 2", J2:J222,"Level 1")
 + COUNTIFS(O2:O222,"Level 2", K2:K222,"Level 1")
 + COUNTIFS(P2:P222,"Level 2", L2:L222,"Level 1"))
 /
 (COUNTIF(N2:N222,"Level 2") + COUNTIF(O2:O222,"Level 2") + COUNTIF(P2:P222,"Level 2"))</f>
        <v>0.12834224598930483</v>
      </c>
      <c r="K236" s="3">
        <f>(COUNTIFS(N2:N222,"Level 2", J2:J222,"Level 2")
 + COUNTIFS(O2:O222,"Level 2", K2:K222,"Level 2")
 + COUNTIFS(P2:P222,"Level 2", L2:L222,"Level 2"))
 /
 (COUNTIF(N2:N222,"Level 2") + COUNTIF(O2:O222,"Level 2") + COUNTIF(P2:P222,"Level 2"))</f>
        <v>0.46524064171122997</v>
      </c>
      <c r="L236" s="4">
        <f>(COUNTIFS(N2:N222,"Level 2", J2:J222,"Level 3")
 + COUNTIFS(O2:O222,"Level 2", K2:K222,"Level 3")
 + COUNTIFS(P2:P222,"Level 2", L2:L222,"Level 3"))
 /
 (COUNTIF(N2:N222,"Level 2") + COUNTIF(O2:O222,"Level 2") + COUNTIF(P2:P222,"Level 2"))</f>
        <v>0.35294117647058826</v>
      </c>
    </row>
    <row r="237" spans="9:12" ht="14.65" thickBot="1" x14ac:dyDescent="0.5">
      <c r="I237" s="11" t="s">
        <v>65</v>
      </c>
      <c r="J237" s="5">
        <f>(COUNTIFS(N2:N222,"Level 3", J2:J222,"Level 1")
 + COUNTIFS(O2:O222,"Level 3", K2:K222,"Level 1")
 + COUNTIFS(P2:P222,"Level 3", L2:L222,"Level 1"))
 /
 (COUNTIF(N2:N222,"Level 3") + COUNTIF(O2:O222,"Level 3") + COUNTIF(P2:P222,"Level 3"))</f>
        <v>5.8823529411764705E-2</v>
      </c>
      <c r="K237" s="5">
        <f>(COUNTIFS(N2:N222,"Level 3", J2:J222,"Level 2")
 + COUNTIFS(O2:O222,"Level 3", K2:K222,"Level 2")
 + COUNTIFS(P2:P222,"Level 3", L2:L222,"Level 2"))
 /
 (COUNTIF(N2:N222,"Level 3") + COUNTIF(O2:O222,"Level 3") + COUNTIF(P2:P222,"Level 3"))</f>
        <v>0.2895927601809955</v>
      </c>
      <c r="L237" s="6">
        <f>(COUNTIFS(N2:N222,"Level 3", J2:J222,"Level 3")
 + COUNTIFS(O2:O222,"Level 3", K2:K222,"Level 3")
 + COUNTIFS(P2:P222,"Level 3", L2:L222,"Level 3"))
 /
 (COUNTIF(N2:N222,"Level 3") + COUNTIF(O2:O222,"Level 3") + COUNTIF(P2:P222,"Level 3"))</f>
        <v>0.61538461538461542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04FD8F-A17D-42E5-B7EE-A9B3CF73A9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 (4)</vt:lpstr>
      <vt:lpstr>TOTAL (3)</vt:lpstr>
      <vt:lpstr>Q1</vt:lpstr>
      <vt:lpstr>Q2</vt:lpstr>
      <vt:lpstr>Q3</vt:lpstr>
      <vt:lpstr>Q4</vt:lpstr>
      <vt:lpstr>Q5</vt:lpstr>
      <vt:lpstr>Q6</vt:lpstr>
      <vt:lpstr>Q7</vt:lpstr>
      <vt:lpstr>TOTAL</vt:lpstr>
      <vt:lpstr>TOTAL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Righi</dc:creator>
  <cp:lastModifiedBy>Eleonora Righi</cp:lastModifiedBy>
  <dcterms:created xsi:type="dcterms:W3CDTF">2026-02-19T10:02:10Z</dcterms:created>
  <dcterms:modified xsi:type="dcterms:W3CDTF">2026-02-26T10:28:38Z</dcterms:modified>
</cp:coreProperties>
</file>